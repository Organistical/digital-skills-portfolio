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2DF85197-B1DC-447E-9468-3B89D2688B64}" xr6:coauthVersionLast="47" xr6:coauthVersionMax="47" xr10:uidLastSave="{00000000-0000-0000-0000-000000000000}"/>
  <bookViews>
    <workbookView xWindow="-108" yWindow="-108" windowWidth="16608" windowHeight="8832" activeTab="4" xr2:uid="{00000000-000D-0000-FFFF-FFFF00000000}"/>
  </bookViews>
  <sheets>
    <sheet name="Staff Data" sheetId="1" r:id="rId1"/>
    <sheet name="Manpower by Dept" sheetId="2" r:id="rId2"/>
    <sheet name="Dept Pie Chart" sheetId="3" r:id="rId3"/>
    <sheet name="Age Absences" sheetId="4" r:id="rId4"/>
    <sheet name="Absence by Dep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B10" i="5"/>
  <c r="B9" i="5"/>
  <c r="B8" i="5"/>
  <c r="B7" i="5"/>
  <c r="B6" i="5"/>
  <c r="B5" i="5"/>
  <c r="B4" i="5"/>
  <c r="B3" i="5"/>
  <c r="B2" i="5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B4" i="4"/>
  <c r="B3" i="4"/>
  <c r="B2" i="4"/>
</calcChain>
</file>

<file path=xl/sharedStrings.xml><?xml version="1.0" encoding="utf-8"?>
<sst xmlns="http://schemas.openxmlformats.org/spreadsheetml/2006/main" count="118" uniqueCount="79">
  <si>
    <t>Company Employees</t>
  </si>
  <si>
    <t>No</t>
  </si>
  <si>
    <t>Surname</t>
  </si>
  <si>
    <t>First</t>
  </si>
  <si>
    <t>D.O.B.</t>
  </si>
  <si>
    <t>Department</t>
  </si>
  <si>
    <t>Ref No</t>
  </si>
  <si>
    <t>Age</t>
  </si>
  <si>
    <t>Absence</t>
  </si>
  <si>
    <t>Borland</t>
  </si>
  <si>
    <t>James</t>
  </si>
  <si>
    <t>Administration</t>
  </si>
  <si>
    <t>AM/010</t>
  </si>
  <si>
    <t>Chapman</t>
  </si>
  <si>
    <t>Ian</t>
  </si>
  <si>
    <t>Finance</t>
  </si>
  <si>
    <t>F/018</t>
  </si>
  <si>
    <t>Chesterton</t>
  </si>
  <si>
    <t>Training</t>
  </si>
  <si>
    <t>T/014</t>
  </si>
  <si>
    <t>Clarke</t>
  </si>
  <si>
    <t>Amy</t>
  </si>
  <si>
    <t>Advertising</t>
  </si>
  <si>
    <t>A/007</t>
  </si>
  <si>
    <t>Collins</t>
  </si>
  <si>
    <t>Paul</t>
  </si>
  <si>
    <t>AM/032</t>
  </si>
  <si>
    <t>Gardner</t>
  </si>
  <si>
    <t>Peter</t>
  </si>
  <si>
    <t>T/060</t>
  </si>
  <si>
    <t>Leigh</t>
  </si>
  <si>
    <t>Clare</t>
  </si>
  <si>
    <t>AM/001</t>
  </si>
  <si>
    <t>McMillan</t>
  </si>
  <si>
    <t>Rose</t>
  </si>
  <si>
    <t>Transport Pool</t>
  </si>
  <si>
    <t>TP/040</t>
  </si>
  <si>
    <t>Myers</t>
  </si>
  <si>
    <t>Anne</t>
  </si>
  <si>
    <t>Computer Services</t>
  </si>
  <si>
    <t>CS/085</t>
  </si>
  <si>
    <t>Parke</t>
  </si>
  <si>
    <t>Neil</t>
  </si>
  <si>
    <t>T/040</t>
  </si>
  <si>
    <t>Phillips</t>
  </si>
  <si>
    <t>Lee</t>
  </si>
  <si>
    <t>Personnel</t>
  </si>
  <si>
    <t>P/059</t>
  </si>
  <si>
    <t>Smith</t>
  </si>
  <si>
    <t>Christopher</t>
  </si>
  <si>
    <t>F/025</t>
  </si>
  <si>
    <t>Production</t>
  </si>
  <si>
    <t>PD/039</t>
  </si>
  <si>
    <t>John</t>
  </si>
  <si>
    <t>PD/040</t>
  </si>
  <si>
    <t>Waldram</t>
  </si>
  <si>
    <t>Zara</t>
  </si>
  <si>
    <t>CS/062</t>
  </si>
  <si>
    <t>Waterman</t>
  </si>
  <si>
    <t>David</t>
  </si>
  <si>
    <t>CS/058</t>
  </si>
  <si>
    <t>Westgarth</t>
  </si>
  <si>
    <t>Shaun</t>
  </si>
  <si>
    <t>Catering</t>
  </si>
  <si>
    <t>CT/028</t>
  </si>
  <si>
    <t>Wright</t>
  </si>
  <si>
    <t>Margaret</t>
  </si>
  <si>
    <t>T/071</t>
  </si>
  <si>
    <t>Yates</t>
  </si>
  <si>
    <t>Zeta</t>
  </si>
  <si>
    <t>P/058</t>
  </si>
  <si>
    <t>Staff Count</t>
  </si>
  <si>
    <t>Count</t>
  </si>
  <si>
    <t>Age Group</t>
  </si>
  <si>
    <t>Total Absences</t>
  </si>
  <si>
    <t>Under 50</t>
  </si>
  <si>
    <t>50-60</t>
  </si>
  <si>
    <t>Over 60</t>
  </si>
  <si>
    <t>Absences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</si>
</sst>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4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'Dept Pie Chart'!B1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'Dept Pie Chart'!$A$2:$A$5</c:f>
              <c:strCache>
                <c:ptCount val="4"/>
                <c:pt idx="0">
                  <c:v>Training</c:v>
                </c:pt>
                <c:pt idx="1">
                  <c:v>Catering</c:v>
                </c:pt>
                <c:pt idx="2">
                  <c:v>Production</c:v>
                </c:pt>
                <c:pt idx="3">
                  <c:v>Administration</c:v>
                </c:pt>
              </c:strCache>
            </c:strRef>
          </c:cat>
          <c:val>
            <c:numRef>
              <c:f>'Dept Pie Chart'!$B$2:$B$5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6-4B61-AD17-43D662A0E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'Absence by Dept'!B1</c:f>
              <c:strCache>
                <c:ptCount val="1"/>
                <c:pt idx="0">
                  <c:v>Absences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'Absence by Dept'!$A$2:$A$10</c:f>
              <c:strCache>
                <c:ptCount val="9"/>
                <c:pt idx="0">
                  <c:v>Administration</c:v>
                </c:pt>
                <c:pt idx="1">
                  <c:v>Advertising</c:v>
                </c:pt>
                <c:pt idx="2">
                  <c:v>Catering</c:v>
                </c:pt>
                <c:pt idx="3">
                  <c:v>Computer Services</c:v>
                </c:pt>
                <c:pt idx="4">
                  <c:v>Finance</c:v>
                </c:pt>
                <c:pt idx="5">
                  <c:v>Personnel</c:v>
                </c:pt>
                <c:pt idx="6">
                  <c:v>Production</c:v>
                </c:pt>
                <c:pt idx="7">
                  <c:v>Training</c:v>
                </c:pt>
                <c:pt idx="8">
                  <c:v>Transport Pool</c:v>
                </c:pt>
              </c:strCache>
            </c:strRef>
          </c:cat>
          <c:val>
            <c:numRef>
              <c:f>'Absence by Dept'!$B$2:$B$10</c:f>
              <c:numCache>
                <c:formatCode>General</c:formatCode>
                <c:ptCount val="9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18</c:v>
                </c:pt>
                <c:pt idx="5">
                  <c:v>2</c:v>
                </c:pt>
                <c:pt idx="6">
                  <c:v>6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F-46E3-8B23-7C52F335F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2"/>
  <sheetViews>
    <sheetView zoomScale="92" zoomScaleNormal="92" workbookViewId="0">
      <selection activeCell="M8" sqref="M8"/>
    </sheetView>
  </sheetViews>
  <sheetFormatPr defaultRowHeight="13.15"/>
  <cols>
    <col min="1" max="1" width="4.42578125" customWidth="1"/>
    <col min="2" max="2" width="14.28515625" customWidth="1"/>
    <col min="3" max="3" width="12.42578125" customWidth="1"/>
    <col min="4" max="4" width="11.28515625" style="3" customWidth="1"/>
    <col min="5" max="5" width="21.140625" customWidth="1"/>
    <col min="6" max="6" width="8.42578125" style="3" customWidth="1"/>
    <col min="7" max="7" width="8.28515625" style="3" customWidth="1"/>
    <col min="8" max="8" width="9.140625" style="3" customWidth="1"/>
  </cols>
  <sheetData>
    <row r="1" spans="1:12" ht="15" customHeight="1">
      <c r="A1" s="2" t="s">
        <v>0</v>
      </c>
    </row>
    <row r="2" spans="1:12" ht="15" customHeight="1">
      <c r="L2" s="9"/>
    </row>
    <row r="3" spans="1:12" ht="15" customHeight="1">
      <c r="A3" s="5" t="s">
        <v>1</v>
      </c>
      <c r="B3" s="6" t="s">
        <v>2</v>
      </c>
      <c r="C3" s="6" t="s">
        <v>3</v>
      </c>
      <c r="D3" s="7" t="s">
        <v>4</v>
      </c>
      <c r="E3" s="6" t="s">
        <v>5</v>
      </c>
      <c r="F3" s="7" t="s">
        <v>6</v>
      </c>
      <c r="G3" s="7" t="s">
        <v>7</v>
      </c>
      <c r="H3" s="7" t="s">
        <v>8</v>
      </c>
    </row>
    <row r="4" spans="1:12" ht="15" customHeight="1">
      <c r="A4">
        <v>1</v>
      </c>
      <c r="B4" s="1" t="s">
        <v>9</v>
      </c>
      <c r="C4" s="1" t="s">
        <v>10</v>
      </c>
      <c r="D4" s="4">
        <v>23010</v>
      </c>
      <c r="E4" s="1" t="s">
        <v>11</v>
      </c>
      <c r="F4" s="3" t="s">
        <v>12</v>
      </c>
      <c r="G4">
        <f ca="1">DATEDIF(D4,TODAY(),"Y")</f>
        <v>63</v>
      </c>
      <c r="H4" s="8">
        <v>0</v>
      </c>
    </row>
    <row r="5" spans="1:12" ht="15" customHeight="1">
      <c r="A5">
        <f>A4+1</f>
        <v>2</v>
      </c>
      <c r="B5" s="1" t="s">
        <v>13</v>
      </c>
      <c r="C5" s="1" t="s">
        <v>14</v>
      </c>
      <c r="D5" s="4">
        <v>18318</v>
      </c>
      <c r="E5" s="1" t="s">
        <v>15</v>
      </c>
      <c r="F5" s="3" t="s">
        <v>16</v>
      </c>
      <c r="G5" s="8">
        <f ca="1">DATEDIF(D5,TODAY(),"Y")</f>
        <v>76</v>
      </c>
      <c r="H5" s="8">
        <v>17</v>
      </c>
    </row>
    <row r="6" spans="1:12" ht="15" customHeight="1">
      <c r="A6">
        <f>A5+1</f>
        <v>3</v>
      </c>
      <c r="B6" s="1" t="s">
        <v>17</v>
      </c>
      <c r="C6" s="1" t="s">
        <v>14</v>
      </c>
      <c r="D6" s="4">
        <v>20214</v>
      </c>
      <c r="E6" s="1" t="s">
        <v>18</v>
      </c>
      <c r="F6" s="3" t="s">
        <v>19</v>
      </c>
      <c r="G6" s="8">
        <f ca="1">DATEDIF(D6,TODAY(),"Y")</f>
        <v>71</v>
      </c>
      <c r="H6" s="8">
        <v>0</v>
      </c>
    </row>
    <row r="7" spans="1:12" ht="15" customHeight="1">
      <c r="A7">
        <f>A6+1</f>
        <v>4</v>
      </c>
      <c r="B7" s="1" t="s">
        <v>20</v>
      </c>
      <c r="C7" s="1" t="s">
        <v>21</v>
      </c>
      <c r="D7" s="4">
        <v>24207</v>
      </c>
      <c r="E7" s="1" t="s">
        <v>22</v>
      </c>
      <c r="F7" s="3" t="s">
        <v>23</v>
      </c>
      <c r="G7" s="8">
        <f ca="1">DATEDIF(D7,TODAY(),"Y")</f>
        <v>60</v>
      </c>
      <c r="H7" s="8">
        <v>0</v>
      </c>
    </row>
    <row r="8" spans="1:12" ht="15" customHeight="1">
      <c r="A8">
        <f>A7+1</f>
        <v>5</v>
      </c>
      <c r="B8" s="1" t="s">
        <v>24</v>
      </c>
      <c r="C8" s="1" t="s">
        <v>25</v>
      </c>
      <c r="D8" s="4">
        <v>24532</v>
      </c>
      <c r="E8" s="1" t="s">
        <v>11</v>
      </c>
      <c r="F8" s="3" t="s">
        <v>26</v>
      </c>
      <c r="G8" s="8">
        <f ca="1">DATEDIF(D8,TODAY(),"Y")</f>
        <v>59</v>
      </c>
      <c r="H8" s="8">
        <v>5</v>
      </c>
    </row>
    <row r="9" spans="1:12" ht="15" customHeight="1">
      <c r="A9">
        <f>A8+1</f>
        <v>6</v>
      </c>
      <c r="B9" s="1" t="s">
        <v>27</v>
      </c>
      <c r="C9" s="1" t="s">
        <v>28</v>
      </c>
      <c r="D9" s="4">
        <v>27360</v>
      </c>
      <c r="E9" s="1" t="s">
        <v>18</v>
      </c>
      <c r="F9" s="3" t="s">
        <v>29</v>
      </c>
      <c r="G9" s="8">
        <f ca="1">DATEDIF(D9,TODAY(),"Y")</f>
        <v>51</v>
      </c>
      <c r="H9" s="8">
        <v>0</v>
      </c>
    </row>
    <row r="10" spans="1:12" ht="15" customHeight="1">
      <c r="A10">
        <f>A9+1</f>
        <v>7</v>
      </c>
      <c r="B10" s="1" t="s">
        <v>30</v>
      </c>
      <c r="C10" s="1" t="s">
        <v>31</v>
      </c>
      <c r="D10" s="4">
        <v>25001</v>
      </c>
      <c r="E10" s="1" t="s">
        <v>11</v>
      </c>
      <c r="F10" s="3" t="s">
        <v>32</v>
      </c>
      <c r="G10" s="8">
        <f ca="1">DATEDIF(D10,TODAY(),"Y")</f>
        <v>57</v>
      </c>
      <c r="H10" s="8">
        <v>3</v>
      </c>
    </row>
    <row r="11" spans="1:12" ht="15" customHeight="1">
      <c r="A11">
        <f>A10+1</f>
        <v>8</v>
      </c>
      <c r="B11" s="1" t="s">
        <v>33</v>
      </c>
      <c r="C11" s="1" t="s">
        <v>34</v>
      </c>
      <c r="D11" s="4">
        <v>21840</v>
      </c>
      <c r="E11" s="1" t="s">
        <v>35</v>
      </c>
      <c r="F11" s="3" t="s">
        <v>36</v>
      </c>
      <c r="G11" s="8">
        <f ca="1">DATEDIF(D11,TODAY(),"Y")</f>
        <v>66</v>
      </c>
      <c r="H11" s="8">
        <v>1</v>
      </c>
    </row>
    <row r="12" spans="1:12" ht="15" customHeight="1">
      <c r="A12">
        <f>A11+1</f>
        <v>9</v>
      </c>
      <c r="B12" s="1" t="s">
        <v>37</v>
      </c>
      <c r="C12" s="1" t="s">
        <v>38</v>
      </c>
      <c r="D12" s="4">
        <v>24485</v>
      </c>
      <c r="E12" s="1" t="s">
        <v>39</v>
      </c>
      <c r="F12" s="3" t="s">
        <v>40</v>
      </c>
      <c r="G12" s="8">
        <f ca="1">DATEDIF(D12,TODAY(),"Y")</f>
        <v>59</v>
      </c>
      <c r="H12" s="8">
        <v>0</v>
      </c>
    </row>
    <row r="13" spans="1:12" ht="15" customHeight="1">
      <c r="A13">
        <f>A12+1</f>
        <v>10</v>
      </c>
      <c r="B13" s="1" t="s">
        <v>41</v>
      </c>
      <c r="C13" s="1" t="s">
        <v>42</v>
      </c>
      <c r="D13" s="4">
        <v>16640</v>
      </c>
      <c r="E13" s="1" t="s">
        <v>18</v>
      </c>
      <c r="F13" s="3" t="s">
        <v>43</v>
      </c>
      <c r="G13" s="8">
        <f ca="1">DATEDIF(D13,TODAY(),"Y")</f>
        <v>80</v>
      </c>
      <c r="H13" s="8">
        <v>1</v>
      </c>
    </row>
    <row r="14" spans="1:12" ht="15" customHeight="1">
      <c r="A14">
        <f>A13+1</f>
        <v>11</v>
      </c>
      <c r="B14" s="1" t="s">
        <v>44</v>
      </c>
      <c r="C14" s="1" t="s">
        <v>45</v>
      </c>
      <c r="D14" s="4">
        <v>20359</v>
      </c>
      <c r="E14" s="1" t="s">
        <v>46</v>
      </c>
      <c r="F14" s="3" t="s">
        <v>47</v>
      </c>
      <c r="G14" s="8">
        <f ca="1">DATEDIF(D14,TODAY(),"Y")</f>
        <v>70</v>
      </c>
      <c r="H14" s="8">
        <v>2</v>
      </c>
    </row>
    <row r="15" spans="1:12" ht="15" customHeight="1">
      <c r="A15">
        <f>A14+1</f>
        <v>12</v>
      </c>
      <c r="B15" s="1" t="s">
        <v>48</v>
      </c>
      <c r="C15" s="1" t="s">
        <v>49</v>
      </c>
      <c r="D15" s="4">
        <v>15025</v>
      </c>
      <c r="E15" s="1" t="s">
        <v>15</v>
      </c>
      <c r="F15" s="3" t="s">
        <v>50</v>
      </c>
      <c r="G15" s="8">
        <f ca="1">DATEDIF(D15,TODAY(),"Y")</f>
        <v>85</v>
      </c>
      <c r="H15" s="8">
        <v>1</v>
      </c>
    </row>
    <row r="16" spans="1:12" ht="15" customHeight="1">
      <c r="A16">
        <f>A15+1</f>
        <v>13</v>
      </c>
      <c r="B16" s="1" t="s">
        <v>48</v>
      </c>
      <c r="C16" s="1" t="s">
        <v>10</v>
      </c>
      <c r="D16" s="4">
        <v>23139</v>
      </c>
      <c r="E16" s="1" t="s">
        <v>51</v>
      </c>
      <c r="F16" s="3" t="s">
        <v>52</v>
      </c>
      <c r="G16" s="8">
        <f ca="1">DATEDIF(D16,TODAY(),"Y")</f>
        <v>63</v>
      </c>
      <c r="H16" s="8">
        <v>2</v>
      </c>
    </row>
    <row r="17" spans="1:8" ht="15" customHeight="1">
      <c r="A17">
        <f>A16+1</f>
        <v>14</v>
      </c>
      <c r="B17" s="1" t="s">
        <v>48</v>
      </c>
      <c r="C17" s="1" t="s">
        <v>53</v>
      </c>
      <c r="D17" s="4">
        <v>23139</v>
      </c>
      <c r="E17" s="1" t="s">
        <v>51</v>
      </c>
      <c r="F17" s="3" t="s">
        <v>54</v>
      </c>
      <c r="G17" s="8">
        <f ca="1">DATEDIF(D17,TODAY(),"Y")</f>
        <v>63</v>
      </c>
      <c r="H17" s="8">
        <v>4</v>
      </c>
    </row>
    <row r="18" spans="1:8" ht="15" customHeight="1">
      <c r="A18">
        <f>A17+1</f>
        <v>15</v>
      </c>
      <c r="B18" s="1" t="s">
        <v>55</v>
      </c>
      <c r="C18" s="1" t="s">
        <v>56</v>
      </c>
      <c r="D18" s="4">
        <v>18162</v>
      </c>
      <c r="E18" s="1" t="s">
        <v>39</v>
      </c>
      <c r="F18" s="3" t="s">
        <v>57</v>
      </c>
      <c r="G18" s="8">
        <f ca="1">DATEDIF(D18,TODAY(),"Y")</f>
        <v>76</v>
      </c>
      <c r="H18" s="8">
        <v>2</v>
      </c>
    </row>
    <row r="19" spans="1:8" ht="15" customHeight="1">
      <c r="A19">
        <f>A18+1</f>
        <v>16</v>
      </c>
      <c r="B19" s="1" t="s">
        <v>58</v>
      </c>
      <c r="C19" s="1" t="s">
        <v>59</v>
      </c>
      <c r="D19" s="4">
        <v>26858</v>
      </c>
      <c r="E19" s="1" t="s">
        <v>39</v>
      </c>
      <c r="F19" s="3" t="s">
        <v>60</v>
      </c>
      <c r="G19" s="8">
        <f ca="1">DATEDIF(D19,TODAY(),"Y")</f>
        <v>52</v>
      </c>
      <c r="H19" s="8">
        <v>7</v>
      </c>
    </row>
    <row r="20" spans="1:8" ht="15" customHeight="1">
      <c r="A20">
        <f>A19+1</f>
        <v>17</v>
      </c>
      <c r="B20" s="1" t="s">
        <v>61</v>
      </c>
      <c r="C20" s="1" t="s">
        <v>62</v>
      </c>
      <c r="D20" s="4">
        <v>18628</v>
      </c>
      <c r="E20" s="1" t="s">
        <v>63</v>
      </c>
      <c r="F20" s="3" t="s">
        <v>64</v>
      </c>
      <c r="G20" s="8">
        <f ca="1">DATEDIF(D20,TODAY(),"Y")</f>
        <v>75</v>
      </c>
      <c r="H20" s="8">
        <v>0</v>
      </c>
    </row>
    <row r="21" spans="1:8" ht="15" customHeight="1">
      <c r="A21">
        <f>A20+1</f>
        <v>18</v>
      </c>
      <c r="B21" s="1" t="s">
        <v>65</v>
      </c>
      <c r="C21" s="1" t="s">
        <v>66</v>
      </c>
      <c r="D21" s="4">
        <v>26771</v>
      </c>
      <c r="E21" s="1" t="s">
        <v>18</v>
      </c>
      <c r="F21" s="3" t="s">
        <v>67</v>
      </c>
      <c r="G21" s="8">
        <f ca="1">DATEDIF(D21,TODAY(),"Y")</f>
        <v>53</v>
      </c>
      <c r="H21" s="8">
        <v>4</v>
      </c>
    </row>
    <row r="22" spans="1:8" ht="15" customHeight="1">
      <c r="A22">
        <f>A21+1</f>
        <v>19</v>
      </c>
      <c r="B22" s="1" t="s">
        <v>68</v>
      </c>
      <c r="C22" s="1" t="s">
        <v>69</v>
      </c>
      <c r="D22" s="4">
        <v>28158</v>
      </c>
      <c r="E22" s="1" t="s">
        <v>46</v>
      </c>
      <c r="F22" s="3" t="s">
        <v>70</v>
      </c>
      <c r="G22" s="8">
        <f ca="1">DATEDIF(D22,TODAY(),"Y")</f>
        <v>49</v>
      </c>
      <c r="H22" s="8">
        <v>0</v>
      </c>
    </row>
    <row r="23" spans="1:8" ht="15" customHeight="1">
      <c r="B23" s="1"/>
      <c r="C23" s="1"/>
      <c r="D23" s="4"/>
      <c r="E23" s="1"/>
      <c r="G23" s="8"/>
      <c r="H23" s="8"/>
    </row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</sheetData>
  <pageMargins left="0.75" right="0.75" top="1" bottom="1" header="0.5" footer="0.5"/>
  <pageSetup paperSize="9" scale="9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/>
  <sheetData>
    <row r="1" spans="1:2">
      <c r="A1" t="s">
        <v>5</v>
      </c>
      <c r="B1" t="s">
        <v>71</v>
      </c>
    </row>
    <row r="2" spans="1:2">
      <c r="A2" t="s">
        <v>11</v>
      </c>
      <c r="B2">
        <v>3</v>
      </c>
    </row>
    <row r="3" spans="1:2">
      <c r="A3" t="s">
        <v>22</v>
      </c>
      <c r="B3">
        <v>1</v>
      </c>
    </row>
    <row r="4" spans="1:2">
      <c r="A4" t="s">
        <v>63</v>
      </c>
      <c r="B4">
        <v>1</v>
      </c>
    </row>
    <row r="5" spans="1:2">
      <c r="A5" t="s">
        <v>39</v>
      </c>
      <c r="B5">
        <v>3</v>
      </c>
    </row>
    <row r="6" spans="1:2">
      <c r="A6" t="s">
        <v>15</v>
      </c>
      <c r="B6">
        <v>2</v>
      </c>
    </row>
    <row r="7" spans="1:2">
      <c r="A7" t="s">
        <v>46</v>
      </c>
      <c r="B7">
        <v>2</v>
      </c>
    </row>
    <row r="8" spans="1:2">
      <c r="A8" t="s">
        <v>51</v>
      </c>
      <c r="B8">
        <v>2</v>
      </c>
    </row>
    <row r="9" spans="1:2">
      <c r="A9" t="s">
        <v>18</v>
      </c>
      <c r="B9">
        <v>4</v>
      </c>
    </row>
    <row r="10" spans="1:2">
      <c r="A10" t="s">
        <v>35</v>
      </c>
      <c r="B1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/>
  <sheetData>
    <row r="1" spans="1:2">
      <c r="A1" t="s">
        <v>5</v>
      </c>
      <c r="B1" t="s">
        <v>72</v>
      </c>
    </row>
    <row r="2" spans="1:2">
      <c r="A2" t="s">
        <v>18</v>
      </c>
      <c r="B2">
        <v>4</v>
      </c>
    </row>
    <row r="3" spans="1:2">
      <c r="A3" t="s">
        <v>63</v>
      </c>
      <c r="B3">
        <v>1</v>
      </c>
    </row>
    <row r="4" spans="1:2">
      <c r="A4" t="s">
        <v>51</v>
      </c>
      <c r="B4">
        <v>2</v>
      </c>
    </row>
    <row r="5" spans="1:2">
      <c r="A5" t="s">
        <v>11</v>
      </c>
      <c r="B5">
        <v>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/>
  <sheetData>
    <row r="1" spans="1:2">
      <c r="A1" t="s">
        <v>73</v>
      </c>
      <c r="B1" t="s">
        <v>74</v>
      </c>
    </row>
    <row r="2" spans="1:2">
      <c r="A2" t="s">
        <v>75</v>
      </c>
      <c r="B2">
        <f ca="1">SUMPRODUCT(('Staff Data'!G4:G23&lt;50)*('Staff Data'!H4:H23))</f>
        <v>0</v>
      </c>
    </row>
    <row r="3" spans="1:2">
      <c r="A3" t="s">
        <v>76</v>
      </c>
      <c r="B3">
        <f ca="1">SUMPRODUCT(('Staff Data'!G4:G23&gt;=50)*('Staff Data'!G4:G23&lt;=60)*('Staff Data'!H4:H23))</f>
        <v>19</v>
      </c>
    </row>
    <row r="4" spans="1:2">
      <c r="A4" t="s">
        <v>77</v>
      </c>
      <c r="B4">
        <f ca="1">SUMPRODUCT(('Staff Data'!G4:G23&gt;60)*('Staff Data'!H4:H23))</f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tabSelected="1" workbookViewId="0"/>
  </sheetViews>
  <sheetFormatPr defaultRowHeight="15"/>
  <sheetData>
    <row r="1" spans="1:2">
      <c r="A1" t="s">
        <v>5</v>
      </c>
      <c r="B1" t="s">
        <v>78</v>
      </c>
    </row>
    <row r="2" spans="1:2">
      <c r="A2" t="s">
        <v>11</v>
      </c>
      <c r="B2">
        <f>SUMIF('Staff Data'!E:E,A2,'Staff Data'!H:H)</f>
        <v>8</v>
      </c>
    </row>
    <row r="3" spans="1:2">
      <c r="A3" t="s">
        <v>22</v>
      </c>
      <c r="B3">
        <f>SUMIF('Staff Data'!E:E,A3,'Staff Data'!H:H)</f>
        <v>0</v>
      </c>
    </row>
    <row r="4" spans="1:2">
      <c r="A4" t="s">
        <v>63</v>
      </c>
      <c r="B4">
        <f>SUMIF('Staff Data'!E:E,A4,'Staff Data'!H:H)</f>
        <v>0</v>
      </c>
    </row>
    <row r="5" spans="1:2">
      <c r="A5" t="s">
        <v>39</v>
      </c>
      <c r="B5">
        <f>SUMIF('Staff Data'!E:E,A5,'Staff Data'!H:H)</f>
        <v>9</v>
      </c>
    </row>
    <row r="6" spans="1:2">
      <c r="A6" t="s">
        <v>15</v>
      </c>
      <c r="B6">
        <f>SUMIF('Staff Data'!E:E,A6,'Staff Data'!H:H)</f>
        <v>18</v>
      </c>
    </row>
    <row r="7" spans="1:2">
      <c r="A7" t="s">
        <v>46</v>
      </c>
      <c r="B7">
        <f>SUMIF('Staff Data'!E:E,A7,'Staff Data'!H:H)</f>
        <v>2</v>
      </c>
    </row>
    <row r="8" spans="1:2">
      <c r="A8" t="s">
        <v>51</v>
      </c>
      <c r="B8">
        <f>SUMIF('Staff Data'!E:E,A8,'Staff Data'!H:H)</f>
        <v>6</v>
      </c>
    </row>
    <row r="9" spans="1:2">
      <c r="A9" t="s">
        <v>18</v>
      </c>
      <c r="B9">
        <f>SUMIF('Staff Data'!E:E,A9,'Staff Data'!H:H)</f>
        <v>5</v>
      </c>
    </row>
    <row r="10" spans="1:2">
      <c r="A10" t="s">
        <v>35</v>
      </c>
      <c r="B10">
        <f>SUMIF('Staff Data'!E:E,A10,'Staff Data'!H:H)</f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Chapman</dc:creator>
  <cp:keywords/>
  <dc:description/>
  <cp:lastModifiedBy/>
  <cp:revision/>
  <dcterms:created xsi:type="dcterms:W3CDTF">1999-07-16T10:45:35Z</dcterms:created>
  <dcterms:modified xsi:type="dcterms:W3CDTF">2026-06-02T16:42:27Z</dcterms:modified>
  <cp:category/>
  <cp:contentStatus/>
</cp:coreProperties>
</file>