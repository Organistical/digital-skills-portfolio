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A49253EA-E327-4ABD-8185-B3D6737789F8}" xr6:coauthVersionLast="47" xr6:coauthVersionMax="47" xr10:uidLastSave="{00000000-0000-0000-0000-000000000000}"/>
  <bookViews>
    <workbookView xWindow="-108" yWindow="-108" windowWidth="16608" windowHeight="8832" firstSheet="1" activeTab="1" xr2:uid="{00000000-000D-0000-FFFF-FFFF00000000}"/>
  </bookViews>
  <sheets>
    <sheet name="EmpData" sheetId="1" r:id="rId1"/>
    <sheet name="Dep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H4" i="1"/>
</calcChain>
</file>

<file path=xl/sharedStrings.xml><?xml version="1.0" encoding="utf-8"?>
<sst xmlns="http://schemas.openxmlformats.org/spreadsheetml/2006/main" count="107" uniqueCount="79">
  <si>
    <t>Company Employees</t>
  </si>
  <si>
    <t>No</t>
  </si>
  <si>
    <t>Surname</t>
  </si>
  <si>
    <t>First</t>
  </si>
  <si>
    <t>D.O.B.</t>
  </si>
  <si>
    <t>Annual Salary</t>
  </si>
  <si>
    <t>Department</t>
  </si>
  <si>
    <t>Ref No</t>
  </si>
  <si>
    <t>Age</t>
  </si>
  <si>
    <t>Absence</t>
  </si>
  <si>
    <t>Borland</t>
  </si>
  <si>
    <t>James</t>
  </si>
  <si>
    <t>Administration</t>
  </si>
  <si>
    <t>AM/010</t>
  </si>
  <si>
    <t>Chapman</t>
  </si>
  <si>
    <t>Ian</t>
  </si>
  <si>
    <t>Finance</t>
  </si>
  <si>
    <t>F/018</t>
  </si>
  <si>
    <t>Chesterton</t>
  </si>
  <si>
    <t>Training</t>
  </si>
  <si>
    <t>T/014</t>
  </si>
  <si>
    <t>Clarke</t>
  </si>
  <si>
    <t>Amy</t>
  </si>
  <si>
    <t>F/007</t>
  </si>
  <si>
    <t>Collins</t>
  </si>
  <si>
    <t>Paul</t>
  </si>
  <si>
    <t>AM/032</t>
  </si>
  <si>
    <t>Gardner</t>
  </si>
  <si>
    <t>Peter</t>
  </si>
  <si>
    <t>T/060</t>
  </si>
  <si>
    <t>Leigh</t>
  </si>
  <si>
    <t>Clare</t>
  </si>
  <si>
    <t>AM/001</t>
  </si>
  <si>
    <t>McMillan</t>
  </si>
  <si>
    <t>Rose</t>
  </si>
  <si>
    <t>TP/040</t>
  </si>
  <si>
    <t>Myers</t>
  </si>
  <si>
    <t>Anne</t>
  </si>
  <si>
    <t>Computer Services</t>
  </si>
  <si>
    <t>CS/085</t>
  </si>
  <si>
    <t>Parke</t>
  </si>
  <si>
    <t>Neil</t>
  </si>
  <si>
    <t>T/040</t>
  </si>
  <si>
    <t>Phillips</t>
  </si>
  <si>
    <t>Lee</t>
  </si>
  <si>
    <t>Personnel</t>
  </si>
  <si>
    <t>P/059</t>
  </si>
  <si>
    <t>Smith</t>
  </si>
  <si>
    <t>Christopher</t>
  </si>
  <si>
    <t>F/025</t>
  </si>
  <si>
    <t>Production</t>
  </si>
  <si>
    <t>PD/039</t>
  </si>
  <si>
    <t>John</t>
  </si>
  <si>
    <t>PD/040</t>
  </si>
  <si>
    <t>Waldram</t>
  </si>
  <si>
    <t>Zara</t>
  </si>
  <si>
    <t>CS/062</t>
  </si>
  <si>
    <t>Waterman</t>
  </si>
  <si>
    <t>David</t>
  </si>
  <si>
    <t>CS/058</t>
  </si>
  <si>
    <t>Westgarth</t>
  </si>
  <si>
    <t>Shaun</t>
  </si>
  <si>
    <t>CS/059</t>
  </si>
  <si>
    <t>Wright</t>
  </si>
  <si>
    <t>Margaret</t>
  </si>
  <si>
    <t>T/071</t>
  </si>
  <si>
    <t>Yates</t>
  </si>
  <si>
    <t>Zeta</t>
  </si>
  <si>
    <t>P/058</t>
  </si>
  <si>
    <t>Yonis</t>
  </si>
  <si>
    <t>Annie</t>
  </si>
  <si>
    <t>P/037</t>
  </si>
  <si>
    <t>Employee
Numbers</t>
  </si>
  <si>
    <t>Percentage</t>
  </si>
  <si>
    <t>20%</t>
  </si>
  <si>
    <t>15%</t>
  </si>
  <si>
    <t>10%</t>
  </si>
  <si>
    <t>Total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</si>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</sst>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\£#,##0"/>
    <numFmt numFmtId="166" formatCode="d\ mmmm\ yyyy"/>
  </numFmts>
  <fonts count="5">
    <font>
      <sz val="10"/>
      <name val="Arial"/>
    </font>
    <font>
      <b/>
      <sz val="16"/>
      <name val="Arial"/>
    </font>
    <font>
      <b/>
      <sz val="10"/>
      <name val="Arial"/>
    </font>
    <font>
      <b/>
      <sz val="11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7E6E6"/>
      </patternFill>
    </fill>
    <fill>
      <patternFill patternType="solid">
        <fgColor rgb="FFE8D4C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6AA84F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3" xfId="0" applyNumberFormat="1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166" fontId="0" fillId="0" borderId="1" xfId="0" applyNumberFormat="1" applyBorder="1" applyAlignment="1">
      <alignment horizontal="right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Departmental Data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21999999999999997"/>
          <c:y val="0.15000000000000002"/>
          <c:w val="0.8"/>
          <c:h val="0.8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Depts!$A$3:$A$8</c:f>
              <c:strCache>
                <c:ptCount val="6"/>
                <c:pt idx="0">
                  <c:v>Administration</c:v>
                </c:pt>
                <c:pt idx="1">
                  <c:v>Computer Services</c:v>
                </c:pt>
                <c:pt idx="2">
                  <c:v>Finance</c:v>
                </c:pt>
                <c:pt idx="3">
                  <c:v>Personnel</c:v>
                </c:pt>
                <c:pt idx="4">
                  <c:v>Production</c:v>
                </c:pt>
                <c:pt idx="5">
                  <c:v>Training</c:v>
                </c:pt>
              </c:strCache>
            </c:strRef>
          </c:cat>
          <c:val>
            <c:numRef>
              <c:f>Depts!$B$3:$B$8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1-4919-ADEF-126AD1BF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workbookViewId="0">
      <selection activeCell="C12" sqref="C12"/>
    </sheetView>
  </sheetViews>
  <sheetFormatPr defaultRowHeight="13.15"/>
  <cols>
    <col min="1" max="1" width="6" customWidth="1"/>
    <col min="2" max="3" width="16" customWidth="1"/>
    <col min="4" max="4" width="14" style="1" customWidth="1"/>
    <col min="5" max="5" width="14" customWidth="1"/>
    <col min="6" max="6" width="22" style="1" customWidth="1"/>
    <col min="7" max="7" width="12" style="1" customWidth="1"/>
    <col min="8" max="8" width="10" style="1" bestFit="1" customWidth="1"/>
    <col min="9" max="10" width="10" customWidth="1"/>
  </cols>
  <sheetData>
    <row r="1" spans="1:10" ht="32.1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14.1" customHeight="1">
      <c r="A2" s="5"/>
      <c r="B2" s="2"/>
      <c r="C2" s="2"/>
      <c r="D2" s="2"/>
      <c r="E2" s="2"/>
      <c r="F2" s="2"/>
      <c r="G2" s="2"/>
      <c r="H2" s="2"/>
      <c r="I2" s="23">
        <v>44605</v>
      </c>
      <c r="J2" s="24"/>
    </row>
    <row r="3" spans="1:10" ht="27.95" customHeight="1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</row>
    <row r="4" spans="1:10" ht="20.100000000000001" customHeight="1">
      <c r="A4" s="5">
        <v>1</v>
      </c>
      <c r="B4" s="4" t="s">
        <v>10</v>
      </c>
      <c r="C4" s="4" t="s">
        <v>11</v>
      </c>
      <c r="D4" s="10">
        <v>23010</v>
      </c>
      <c r="E4" s="3">
        <v>45000</v>
      </c>
      <c r="F4" s="4" t="s">
        <v>12</v>
      </c>
      <c r="G4" s="4" t="s">
        <v>13</v>
      </c>
      <c r="H4" s="4">
        <f ca="1">INT((NOW()-D4)/365.25)</f>
        <v>63</v>
      </c>
      <c r="I4" s="4">
        <v>1</v>
      </c>
      <c r="J4" s="6"/>
    </row>
    <row r="5" spans="1:10" ht="20.100000000000001" customHeight="1">
      <c r="A5" s="5">
        <f>A4+1</f>
        <v>2</v>
      </c>
      <c r="B5" s="4" t="s">
        <v>14</v>
      </c>
      <c r="C5" s="4" t="s">
        <v>15</v>
      </c>
      <c r="D5" s="10">
        <v>18318</v>
      </c>
      <c r="E5" s="3">
        <v>55000</v>
      </c>
      <c r="F5" s="4" t="s">
        <v>16</v>
      </c>
      <c r="G5" s="4" t="s">
        <v>17</v>
      </c>
      <c r="H5" s="4">
        <f ca="1">INT((NOW()-D5)/365.25)</f>
        <v>76</v>
      </c>
      <c r="I5" s="4">
        <v>14</v>
      </c>
      <c r="J5" s="6"/>
    </row>
    <row r="6" spans="1:10" ht="20.100000000000001" customHeight="1">
      <c r="A6" s="5">
        <f>A5+1</f>
        <v>3</v>
      </c>
      <c r="B6" s="4" t="s">
        <v>18</v>
      </c>
      <c r="C6" s="4" t="s">
        <v>15</v>
      </c>
      <c r="D6" s="10">
        <v>20214</v>
      </c>
      <c r="E6" s="3">
        <v>52000</v>
      </c>
      <c r="F6" s="4" t="s">
        <v>19</v>
      </c>
      <c r="G6" s="4" t="s">
        <v>20</v>
      </c>
      <c r="H6" s="4">
        <f ca="1">INT((NOW()-D6)/365.25)</f>
        <v>71</v>
      </c>
      <c r="I6" s="4">
        <v>1</v>
      </c>
      <c r="J6" s="6"/>
    </row>
    <row r="7" spans="1:10" ht="20.100000000000001" customHeight="1">
      <c r="A7" s="5">
        <f>A6+1</f>
        <v>4</v>
      </c>
      <c r="B7" s="4" t="s">
        <v>21</v>
      </c>
      <c r="C7" s="4" t="s">
        <v>22</v>
      </c>
      <c r="D7" s="10">
        <v>24207</v>
      </c>
      <c r="E7" s="3">
        <v>57000</v>
      </c>
      <c r="F7" s="4" t="s">
        <v>16</v>
      </c>
      <c r="G7" s="4" t="s">
        <v>23</v>
      </c>
      <c r="H7" s="4">
        <f ca="1">INT((NOW()-D7)/365.25)</f>
        <v>60</v>
      </c>
      <c r="I7" s="4">
        <v>2</v>
      </c>
      <c r="J7" s="6"/>
    </row>
    <row r="8" spans="1:10" ht="20.100000000000001" customHeight="1">
      <c r="A8" s="5">
        <f>A7+1</f>
        <v>5</v>
      </c>
      <c r="B8" s="4" t="s">
        <v>24</v>
      </c>
      <c r="C8" s="4" t="s">
        <v>25</v>
      </c>
      <c r="D8" s="10">
        <v>24532</v>
      </c>
      <c r="E8" s="3">
        <v>44000</v>
      </c>
      <c r="F8" s="4" t="s">
        <v>12</v>
      </c>
      <c r="G8" s="4" t="s">
        <v>26</v>
      </c>
      <c r="H8" s="4">
        <f ca="1">INT((NOW()-D8)/365.25)</f>
        <v>59</v>
      </c>
      <c r="I8" s="4">
        <v>5</v>
      </c>
      <c r="J8" s="6"/>
    </row>
    <row r="9" spans="1:10" ht="20.100000000000001" customHeight="1">
      <c r="A9" s="5">
        <f>A8+1</f>
        <v>6</v>
      </c>
      <c r="B9" s="4" t="s">
        <v>27</v>
      </c>
      <c r="C9" s="4" t="s">
        <v>28</v>
      </c>
      <c r="D9" s="10">
        <v>27360</v>
      </c>
      <c r="E9" s="3">
        <v>42000</v>
      </c>
      <c r="F9" s="4" t="s">
        <v>19</v>
      </c>
      <c r="G9" s="4" t="s">
        <v>29</v>
      </c>
      <c r="H9" s="4">
        <f ca="1">INT((NOW()-D9)/365.25)</f>
        <v>51</v>
      </c>
      <c r="I9" s="4">
        <v>2</v>
      </c>
      <c r="J9" s="6"/>
    </row>
    <row r="10" spans="1:10" ht="20.100000000000001" customHeight="1">
      <c r="A10" s="5">
        <f>A9+1</f>
        <v>7</v>
      </c>
      <c r="B10" s="4" t="s">
        <v>30</v>
      </c>
      <c r="C10" s="4" t="s">
        <v>31</v>
      </c>
      <c r="D10" s="10">
        <v>25001</v>
      </c>
      <c r="E10" s="3">
        <v>48000</v>
      </c>
      <c r="F10" s="4" t="s">
        <v>12</v>
      </c>
      <c r="G10" s="4" t="s">
        <v>32</v>
      </c>
      <c r="H10" s="4">
        <f ca="1">INT((NOW()-D10)/365.25)</f>
        <v>57</v>
      </c>
      <c r="I10" s="4">
        <v>3</v>
      </c>
      <c r="J10" s="6"/>
    </row>
    <row r="11" spans="1:10" ht="20.100000000000001" customHeight="1">
      <c r="A11" s="5">
        <f>A10+1</f>
        <v>8</v>
      </c>
      <c r="B11" s="4" t="s">
        <v>33</v>
      </c>
      <c r="C11" s="4" t="s">
        <v>34</v>
      </c>
      <c r="D11" s="10">
        <v>21840</v>
      </c>
      <c r="E11" s="3">
        <v>50000</v>
      </c>
      <c r="F11" s="4" t="s">
        <v>12</v>
      </c>
      <c r="G11" s="4" t="s">
        <v>35</v>
      </c>
      <c r="H11" s="4">
        <f ca="1">INT((NOW()-D11)/365.25)</f>
        <v>66</v>
      </c>
      <c r="I11" s="4">
        <v>1</v>
      </c>
      <c r="J11" s="6"/>
    </row>
    <row r="12" spans="1:10" ht="20.100000000000001" customHeight="1">
      <c r="A12" s="5">
        <f>A11+1</f>
        <v>9</v>
      </c>
      <c r="B12" s="4" t="s">
        <v>36</v>
      </c>
      <c r="C12" s="4" t="s">
        <v>37</v>
      </c>
      <c r="D12" s="10">
        <v>24485</v>
      </c>
      <c r="E12" s="3">
        <v>45000</v>
      </c>
      <c r="F12" s="4" t="s">
        <v>38</v>
      </c>
      <c r="G12" s="4" t="s">
        <v>39</v>
      </c>
      <c r="H12" s="4">
        <f ca="1">INT((NOW()-D12)/365.25)</f>
        <v>59</v>
      </c>
      <c r="I12" s="4">
        <v>0</v>
      </c>
      <c r="J12" s="6"/>
    </row>
    <row r="13" spans="1:10" ht="20.100000000000001" customHeight="1">
      <c r="A13" s="5">
        <f>A12+1</f>
        <v>10</v>
      </c>
      <c r="B13" s="4" t="s">
        <v>40</v>
      </c>
      <c r="C13" s="4" t="s">
        <v>41</v>
      </c>
      <c r="D13" s="10">
        <v>16640</v>
      </c>
      <c r="E13" s="3">
        <v>60000</v>
      </c>
      <c r="F13" s="4" t="s">
        <v>19</v>
      </c>
      <c r="G13" s="4" t="s">
        <v>42</v>
      </c>
      <c r="H13" s="4">
        <f ca="1">INT((NOW()-D13)/365.25)</f>
        <v>80</v>
      </c>
      <c r="I13" s="4">
        <v>1</v>
      </c>
      <c r="J13" s="6"/>
    </row>
    <row r="14" spans="1:10" ht="20.100000000000001" customHeight="1">
      <c r="A14" s="5">
        <f>A13+1</f>
        <v>11</v>
      </c>
      <c r="B14" s="4" t="s">
        <v>43</v>
      </c>
      <c r="C14" s="4" t="s">
        <v>44</v>
      </c>
      <c r="D14" s="10">
        <v>20359</v>
      </c>
      <c r="E14" s="3">
        <v>62000</v>
      </c>
      <c r="F14" s="4" t="s">
        <v>45</v>
      </c>
      <c r="G14" s="4" t="s">
        <v>46</v>
      </c>
      <c r="H14" s="4">
        <f ca="1">INT((NOW()-D14)/365.25)</f>
        <v>70</v>
      </c>
      <c r="I14" s="4">
        <v>2</v>
      </c>
      <c r="J14" s="6"/>
    </row>
    <row r="15" spans="1:10" ht="20.100000000000001" customHeight="1">
      <c r="A15" s="5">
        <f>A14+1</f>
        <v>12</v>
      </c>
      <c r="B15" s="4" t="s">
        <v>47</v>
      </c>
      <c r="C15" s="4" t="s">
        <v>48</v>
      </c>
      <c r="D15" s="10">
        <v>15025</v>
      </c>
      <c r="E15" s="3">
        <v>55000</v>
      </c>
      <c r="F15" s="4" t="s">
        <v>16</v>
      </c>
      <c r="G15" s="4" t="s">
        <v>49</v>
      </c>
      <c r="H15" s="4">
        <f ca="1">INT((NOW()-D15)/365.25)</f>
        <v>85</v>
      </c>
      <c r="I15" s="4">
        <v>1</v>
      </c>
      <c r="J15" s="6"/>
    </row>
    <row r="16" spans="1:10" ht="20.100000000000001" customHeight="1">
      <c r="A16" s="5">
        <f>A15+1</f>
        <v>13</v>
      </c>
      <c r="B16" s="4" t="s">
        <v>47</v>
      </c>
      <c r="C16" s="4" t="s">
        <v>11</v>
      </c>
      <c r="D16" s="10">
        <v>23139</v>
      </c>
      <c r="E16" s="3">
        <v>56000</v>
      </c>
      <c r="F16" s="4" t="s">
        <v>50</v>
      </c>
      <c r="G16" s="4" t="s">
        <v>51</v>
      </c>
      <c r="H16" s="4">
        <f ca="1">INT((NOW()-D16)/365.25)</f>
        <v>63</v>
      </c>
      <c r="I16" s="4">
        <v>2</v>
      </c>
      <c r="J16" s="6"/>
    </row>
    <row r="17" spans="1:10" ht="20.100000000000001" customHeight="1">
      <c r="A17" s="5">
        <f>A16+1</f>
        <v>14</v>
      </c>
      <c r="B17" s="4" t="s">
        <v>47</v>
      </c>
      <c r="C17" s="4" t="s">
        <v>52</v>
      </c>
      <c r="D17" s="10">
        <v>23139</v>
      </c>
      <c r="E17" s="3">
        <v>55000</v>
      </c>
      <c r="F17" s="4" t="s">
        <v>50</v>
      </c>
      <c r="G17" s="4" t="s">
        <v>53</v>
      </c>
      <c r="H17" s="4">
        <f ca="1">INT((NOW()-D17)/365.25)</f>
        <v>63</v>
      </c>
      <c r="I17" s="4">
        <v>4</v>
      </c>
      <c r="J17" s="6"/>
    </row>
    <row r="18" spans="1:10" ht="20.100000000000001" customHeight="1">
      <c r="A18" s="5">
        <f>A17+1</f>
        <v>15</v>
      </c>
      <c r="B18" s="4" t="s">
        <v>54</v>
      </c>
      <c r="C18" s="4" t="s">
        <v>55</v>
      </c>
      <c r="D18" s="10">
        <v>18162</v>
      </c>
      <c r="E18" s="3">
        <v>53000</v>
      </c>
      <c r="F18" s="4" t="s">
        <v>38</v>
      </c>
      <c r="G18" s="4" t="s">
        <v>56</v>
      </c>
      <c r="H18" s="4">
        <f ca="1">INT((NOW()-D18)/365.25)</f>
        <v>76</v>
      </c>
      <c r="I18" s="4">
        <v>2</v>
      </c>
      <c r="J18" s="6"/>
    </row>
    <row r="19" spans="1:10" ht="20.100000000000001" customHeight="1">
      <c r="A19" s="5">
        <f>A18+1</f>
        <v>16</v>
      </c>
      <c r="B19" s="4" t="s">
        <v>57</v>
      </c>
      <c r="C19" s="4" t="s">
        <v>58</v>
      </c>
      <c r="D19" s="10">
        <v>26858</v>
      </c>
      <c r="E19" s="3">
        <v>42000</v>
      </c>
      <c r="F19" s="4" t="s">
        <v>38</v>
      </c>
      <c r="G19" s="4" t="s">
        <v>59</v>
      </c>
      <c r="H19" s="4">
        <f ca="1">INT((NOW()-D19)/365.25)</f>
        <v>52</v>
      </c>
      <c r="I19" s="4">
        <v>4</v>
      </c>
      <c r="J19" s="6"/>
    </row>
    <row r="20" spans="1:10" ht="20.100000000000001" customHeight="1">
      <c r="A20" s="5">
        <f>A19+1</f>
        <v>17</v>
      </c>
      <c r="B20" s="4" t="s">
        <v>60</v>
      </c>
      <c r="C20" s="4" t="s">
        <v>61</v>
      </c>
      <c r="D20" s="10">
        <v>18628</v>
      </c>
      <c r="E20" s="3">
        <v>50000</v>
      </c>
      <c r="F20" s="4" t="s">
        <v>38</v>
      </c>
      <c r="G20" s="4" t="s">
        <v>62</v>
      </c>
      <c r="H20" s="4">
        <f ca="1">INT((NOW()-D20)/365.25)</f>
        <v>75</v>
      </c>
      <c r="I20" s="4">
        <v>0</v>
      </c>
      <c r="J20" s="6"/>
    </row>
    <row r="21" spans="1:10" ht="20.100000000000001" customHeight="1">
      <c r="A21" s="5">
        <f>A20+1</f>
        <v>18</v>
      </c>
      <c r="B21" s="4" t="s">
        <v>63</v>
      </c>
      <c r="C21" s="4" t="s">
        <v>64</v>
      </c>
      <c r="D21" s="10">
        <v>26771</v>
      </c>
      <c r="E21" s="3">
        <v>45000</v>
      </c>
      <c r="F21" s="4" t="s">
        <v>19</v>
      </c>
      <c r="G21" s="4" t="s">
        <v>65</v>
      </c>
      <c r="H21" s="4">
        <f ca="1">INT((NOW()-D21)/365.25)</f>
        <v>53</v>
      </c>
      <c r="I21" s="4">
        <v>4</v>
      </c>
      <c r="J21" s="6"/>
    </row>
    <row r="22" spans="1:10" ht="20.100000000000001" customHeight="1">
      <c r="A22" s="5">
        <f>A21+1</f>
        <v>19</v>
      </c>
      <c r="B22" s="4" t="s">
        <v>66</v>
      </c>
      <c r="C22" s="4" t="s">
        <v>67</v>
      </c>
      <c r="D22" s="10">
        <v>28158</v>
      </c>
      <c r="E22" s="3">
        <v>52000</v>
      </c>
      <c r="F22" s="4" t="s">
        <v>45</v>
      </c>
      <c r="G22" s="4" t="s">
        <v>68</v>
      </c>
      <c r="H22" s="4">
        <f ca="1">INT((NOW()-D22)/365.25)</f>
        <v>49</v>
      </c>
      <c r="I22" s="4">
        <v>1</v>
      </c>
      <c r="J22" s="6"/>
    </row>
    <row r="23" spans="1:10" ht="20.100000000000001" customHeight="1">
      <c r="A23" s="11">
        <f>A22+1</f>
        <v>20</v>
      </c>
      <c r="B23" s="12" t="s">
        <v>69</v>
      </c>
      <c r="C23" s="12" t="s">
        <v>70</v>
      </c>
      <c r="D23" s="13">
        <v>24871</v>
      </c>
      <c r="E23" s="14">
        <v>39000</v>
      </c>
      <c r="F23" s="12" t="s">
        <v>50</v>
      </c>
      <c r="G23" s="12" t="s">
        <v>71</v>
      </c>
      <c r="H23" s="12">
        <v>35</v>
      </c>
      <c r="I23" s="12">
        <v>2</v>
      </c>
      <c r="J23" s="15"/>
    </row>
    <row r="24" spans="1:10" ht="15" customHeight="1"/>
    <row r="25" spans="1:10" ht="15" customHeight="1"/>
    <row r="26" spans="1:10" ht="15" customHeight="1"/>
    <row r="27" spans="1:10" ht="15" customHeight="1"/>
    <row r="28" spans="1:10" ht="15" customHeight="1"/>
    <row r="29" spans="1:10" ht="15" customHeight="1"/>
    <row r="30" spans="1:10" ht="15" customHeight="1"/>
    <row r="31" spans="1:10" ht="15" customHeight="1"/>
    <row r="32" spans="1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mergeCells count="2">
    <mergeCell ref="A1:J1"/>
    <mergeCell ref="I2:J2"/>
  </mergeCells>
  <pageMargins left="0.75" right="0.75" top="1" bottom="1" header="0.5" footer="0.5"/>
  <pageSetup paperSize="9" scale="9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C3" sqref="C3"/>
    </sheetView>
  </sheetViews>
  <sheetFormatPr defaultRowHeight="13.15"/>
  <cols>
    <col min="1" max="1" width="18" bestFit="1" customWidth="1"/>
    <col min="2" max="2" width="10" customWidth="1"/>
    <col min="3" max="3" width="13" customWidth="1"/>
    <col min="4" max="4" width="2" customWidth="1"/>
    <col min="5" max="11" width="7" customWidth="1"/>
  </cols>
  <sheetData>
    <row r="1" spans="1:3" ht="20.100000000000001" customHeight="1"/>
    <row r="2" spans="1:3" ht="33.950000000000003" customHeight="1">
      <c r="A2" s="17" t="s">
        <v>6</v>
      </c>
      <c r="B2" s="17" t="s">
        <v>72</v>
      </c>
      <c r="C2" s="17" t="s">
        <v>73</v>
      </c>
    </row>
    <row r="3" spans="1:3" ht="20.100000000000001" customHeight="1">
      <c r="A3" s="4" t="s">
        <v>12</v>
      </c>
      <c r="B3" s="16">
        <v>4</v>
      </c>
      <c r="C3" s="16" t="s">
        <v>74</v>
      </c>
    </row>
    <row r="4" spans="1:3" ht="20.100000000000001" customHeight="1">
      <c r="A4" s="4" t="s">
        <v>38</v>
      </c>
      <c r="B4" s="16">
        <v>4</v>
      </c>
      <c r="C4" s="16" t="s">
        <v>74</v>
      </c>
    </row>
    <row r="5" spans="1:3" ht="20.100000000000001" customHeight="1">
      <c r="A5" s="4" t="s">
        <v>16</v>
      </c>
      <c r="B5" s="16">
        <v>3</v>
      </c>
      <c r="C5" s="16" t="s">
        <v>75</v>
      </c>
    </row>
    <row r="6" spans="1:3" ht="20.100000000000001" customHeight="1">
      <c r="A6" s="4" t="s">
        <v>45</v>
      </c>
      <c r="B6" s="16">
        <v>2</v>
      </c>
      <c r="C6" s="16" t="s">
        <v>76</v>
      </c>
    </row>
    <row r="7" spans="1:3" ht="20.100000000000001" customHeight="1">
      <c r="A7" s="4" t="s">
        <v>50</v>
      </c>
      <c r="B7" s="16">
        <v>3</v>
      </c>
      <c r="C7" s="16" t="s">
        <v>75</v>
      </c>
    </row>
    <row r="8" spans="1:3" ht="20.100000000000001" customHeight="1">
      <c r="A8" s="4" t="s">
        <v>19</v>
      </c>
      <c r="B8" s="16">
        <v>4</v>
      </c>
      <c r="C8" s="16" t="s">
        <v>74</v>
      </c>
    </row>
    <row r="9" spans="1:3" ht="20.100000000000001" customHeight="1">
      <c r="A9" s="18" t="s">
        <v>77</v>
      </c>
      <c r="B9" s="19">
        <v>20</v>
      </c>
      <c r="C9" s="19" t="s">
        <v>78</v>
      </c>
    </row>
    <row r="10" spans="1:3" ht="20.100000000000001" customHeight="1"/>
    <row r="11" spans="1:3" ht="20.100000000000001" customHeight="1"/>
    <row r="12" spans="1:3" ht="20.100000000000001" customHeight="1"/>
    <row r="13" spans="1:3" ht="20.100000000000001" customHeight="1"/>
    <row r="14" spans="1:3" ht="20.100000000000001" customHeight="1"/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Chapman</dc:creator>
  <cp:keywords/>
  <dc:description/>
  <cp:lastModifiedBy/>
  <cp:revision/>
  <dcterms:created xsi:type="dcterms:W3CDTF">1999-07-16T10:45:35Z</dcterms:created>
  <dcterms:modified xsi:type="dcterms:W3CDTF">2026-06-02T16:12:40Z</dcterms:modified>
  <cp:category/>
  <cp:contentStatus/>
</cp:coreProperties>
</file>