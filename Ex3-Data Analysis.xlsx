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74680EC4-FAB7-4989-8B06-0A7F97DE5B6D}" xr6:coauthVersionLast="47" xr6:coauthVersionMax="47" xr10:uidLastSave="{00000000-0000-0000-0000-000000000000}"/>
  <bookViews>
    <workbookView xWindow="720" yWindow="330" windowWidth="13155" windowHeight="4140" activeTab="1" xr2:uid="{00000000-000D-0000-FFFF-FFFF00000000}"/>
  </bookViews>
  <sheets>
    <sheet name="Data" sheetId="1" r:id="rId1"/>
    <sheet name="Lookup" sheetId="2" r:id="rId2"/>
    <sheet name="Analysis" sheetId="3" r:id="rId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B9" i="3"/>
  <c r="B8" i="3"/>
  <c r="B7" i="3"/>
  <c r="B6" i="3"/>
  <c r="B3" i="3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2" i="1" l="1"/>
  <c r="O2" i="1" s="1"/>
  <c r="L2" i="1"/>
  <c r="M2" i="1" s="1"/>
  <c r="P2" i="1" s="1"/>
  <c r="N3" i="1"/>
  <c r="O3" i="1" s="1"/>
  <c r="L3" i="1"/>
  <c r="M3" i="1" s="1"/>
  <c r="P3" i="1" s="1"/>
  <c r="N4" i="1"/>
  <c r="O4" i="1" s="1"/>
  <c r="L4" i="1"/>
  <c r="M4" i="1" s="1"/>
  <c r="P4" i="1" s="1"/>
  <c r="N5" i="1"/>
  <c r="O5" i="1" s="1"/>
  <c r="L5" i="1"/>
  <c r="M5" i="1" s="1"/>
  <c r="P5" i="1" s="1"/>
  <c r="N6" i="1"/>
  <c r="O6" i="1" s="1"/>
  <c r="L6" i="1"/>
  <c r="M6" i="1" s="1"/>
  <c r="P6" i="1" s="1"/>
  <c r="N7" i="1"/>
  <c r="O7" i="1" s="1"/>
  <c r="L7" i="1"/>
  <c r="M7" i="1" s="1"/>
  <c r="P7" i="1" s="1"/>
  <c r="N8" i="1"/>
  <c r="O8" i="1" s="1"/>
  <c r="L8" i="1"/>
  <c r="M8" i="1" s="1"/>
  <c r="P8" i="1" s="1"/>
  <c r="N9" i="1"/>
  <c r="O9" i="1" s="1"/>
  <c r="L9" i="1"/>
  <c r="M9" i="1" s="1"/>
  <c r="P9" i="1" s="1"/>
  <c r="N10" i="1"/>
  <c r="O10" i="1" s="1"/>
  <c r="L10" i="1"/>
  <c r="M10" i="1" s="1"/>
  <c r="P10" i="1" s="1"/>
  <c r="B4" i="3"/>
  <c r="N11" i="1"/>
  <c r="O11" i="1" s="1"/>
  <c r="L11" i="1"/>
  <c r="M11" i="1" s="1"/>
  <c r="P11" i="1" s="1"/>
  <c r="N12" i="1"/>
  <c r="O12" i="1" s="1"/>
  <c r="L12" i="1"/>
  <c r="M12" i="1" s="1"/>
  <c r="P12" i="1" s="1"/>
  <c r="N13" i="1"/>
  <c r="O13" i="1" s="1"/>
  <c r="L13" i="1"/>
  <c r="M13" i="1" s="1"/>
  <c r="P13" i="1" s="1"/>
  <c r="N14" i="1"/>
  <c r="O14" i="1" s="1"/>
  <c r="L14" i="1"/>
  <c r="M14" i="1" s="1"/>
  <c r="P14" i="1" s="1"/>
  <c r="N15" i="1"/>
  <c r="O15" i="1" s="1"/>
  <c r="L15" i="1"/>
  <c r="M15" i="1" s="1"/>
  <c r="P15" i="1" s="1"/>
  <c r="N16" i="1"/>
  <c r="O16" i="1" s="1"/>
  <c r="L16" i="1"/>
  <c r="M16" i="1" s="1"/>
  <c r="P16" i="1" s="1"/>
  <c r="N17" i="1"/>
  <c r="O17" i="1" s="1"/>
  <c r="L17" i="1"/>
  <c r="M17" i="1" s="1"/>
  <c r="P17" i="1" s="1"/>
  <c r="N18" i="1"/>
  <c r="O18" i="1" s="1"/>
  <c r="L18" i="1"/>
  <c r="M18" i="1" s="1"/>
  <c r="P18" i="1" s="1"/>
  <c r="N19" i="1"/>
  <c r="O19" i="1" s="1"/>
  <c r="L19" i="1"/>
  <c r="M19" i="1" s="1"/>
  <c r="P19" i="1" s="1"/>
  <c r="N20" i="1"/>
  <c r="O20" i="1" s="1"/>
  <c r="L20" i="1"/>
  <c r="M20" i="1" s="1"/>
  <c r="P20" i="1" s="1"/>
  <c r="N21" i="1"/>
  <c r="O21" i="1" s="1"/>
  <c r="L21" i="1"/>
  <c r="M21" i="1" s="1"/>
  <c r="P21" i="1" s="1"/>
  <c r="N22" i="1"/>
  <c r="O22" i="1" s="1"/>
  <c r="L22" i="1"/>
  <c r="M22" i="1" s="1"/>
  <c r="P22" i="1" s="1"/>
  <c r="N23" i="1"/>
  <c r="O23" i="1" s="1"/>
  <c r="L23" i="1"/>
  <c r="M23" i="1" s="1"/>
  <c r="P23" i="1" s="1"/>
  <c r="N24" i="1"/>
  <c r="O24" i="1" s="1"/>
  <c r="L24" i="1"/>
  <c r="M24" i="1" s="1"/>
  <c r="P24" i="1" s="1"/>
  <c r="N25" i="1"/>
  <c r="O25" i="1" s="1"/>
  <c r="L25" i="1"/>
  <c r="M25" i="1" s="1"/>
  <c r="P25" i="1" s="1"/>
  <c r="N26" i="1"/>
  <c r="O26" i="1" s="1"/>
  <c r="L26" i="1"/>
  <c r="M26" i="1" s="1"/>
  <c r="P26" i="1" s="1"/>
  <c r="N27" i="1"/>
  <c r="O27" i="1" s="1"/>
  <c r="L27" i="1"/>
  <c r="M27" i="1" s="1"/>
  <c r="P27" i="1" s="1"/>
  <c r="N28" i="1"/>
  <c r="O28" i="1" s="1"/>
  <c r="L28" i="1"/>
  <c r="M28" i="1" s="1"/>
  <c r="P28" i="1" s="1"/>
  <c r="N29" i="1"/>
  <c r="O29" i="1" s="1"/>
  <c r="L29" i="1"/>
  <c r="M29" i="1" s="1"/>
  <c r="P29" i="1" s="1"/>
  <c r="N30" i="1"/>
  <c r="O30" i="1" s="1"/>
  <c r="L30" i="1"/>
  <c r="M30" i="1" s="1"/>
  <c r="P30" i="1" s="1"/>
  <c r="N31" i="1"/>
  <c r="O31" i="1" s="1"/>
  <c r="L31" i="1"/>
  <c r="M31" i="1" s="1"/>
  <c r="P31" i="1" s="1"/>
  <c r="N32" i="1"/>
  <c r="O32" i="1" s="1"/>
  <c r="L32" i="1"/>
  <c r="M32" i="1" s="1"/>
  <c r="P32" i="1" s="1"/>
  <c r="N33" i="1"/>
  <c r="O33" i="1" s="1"/>
  <c r="L33" i="1"/>
  <c r="M33" i="1" s="1"/>
  <c r="P33" i="1" s="1"/>
  <c r="N34" i="1"/>
  <c r="O34" i="1" s="1"/>
  <c r="L34" i="1"/>
  <c r="M34" i="1" s="1"/>
  <c r="P34" i="1" s="1"/>
  <c r="N35" i="1"/>
  <c r="O35" i="1" s="1"/>
  <c r="L35" i="1"/>
  <c r="M35" i="1" s="1"/>
  <c r="P35" i="1" s="1"/>
  <c r="N36" i="1"/>
  <c r="O36" i="1" s="1"/>
  <c r="L36" i="1"/>
  <c r="M36" i="1" s="1"/>
  <c r="P36" i="1" s="1"/>
  <c r="N37" i="1"/>
  <c r="O37" i="1" s="1"/>
  <c r="L37" i="1"/>
  <c r="M37" i="1" s="1"/>
  <c r="P37" i="1" s="1"/>
  <c r="N38" i="1"/>
  <c r="O38" i="1" s="1"/>
  <c r="L38" i="1"/>
  <c r="M38" i="1" s="1"/>
  <c r="P38" i="1" s="1"/>
  <c r="N39" i="1"/>
  <c r="O39" i="1" s="1"/>
  <c r="L39" i="1"/>
  <c r="M39" i="1" s="1"/>
  <c r="P39" i="1" s="1"/>
  <c r="N40" i="1"/>
  <c r="O40" i="1" s="1"/>
  <c r="L40" i="1"/>
  <c r="M40" i="1" s="1"/>
  <c r="P40" i="1" s="1"/>
  <c r="N41" i="1"/>
  <c r="O41" i="1" s="1"/>
  <c r="L41" i="1"/>
  <c r="M41" i="1" s="1"/>
  <c r="P41" i="1" s="1"/>
  <c r="N42" i="1"/>
  <c r="O42" i="1" s="1"/>
  <c r="L42" i="1"/>
  <c r="M42" i="1" s="1"/>
  <c r="P42" i="1" s="1"/>
  <c r="N43" i="1"/>
  <c r="O43" i="1" s="1"/>
  <c r="L43" i="1"/>
  <c r="M43" i="1" s="1"/>
  <c r="P43" i="1" s="1"/>
  <c r="N44" i="1"/>
  <c r="O44" i="1" s="1"/>
  <c r="L44" i="1"/>
  <c r="M44" i="1" s="1"/>
  <c r="P44" i="1" s="1"/>
  <c r="N45" i="1"/>
  <c r="O45" i="1" s="1"/>
  <c r="L45" i="1"/>
  <c r="M45" i="1" s="1"/>
  <c r="P45" i="1" s="1"/>
  <c r="N46" i="1"/>
  <c r="O46" i="1" s="1"/>
  <c r="L46" i="1"/>
  <c r="M46" i="1" s="1"/>
  <c r="P46" i="1" s="1"/>
  <c r="N47" i="1"/>
  <c r="O47" i="1" s="1"/>
  <c r="L47" i="1"/>
  <c r="M47" i="1" s="1"/>
  <c r="P47" i="1" s="1"/>
  <c r="N48" i="1"/>
  <c r="O48" i="1" s="1"/>
  <c r="L48" i="1"/>
  <c r="M48" i="1" s="1"/>
  <c r="P48" i="1" s="1"/>
  <c r="N49" i="1"/>
  <c r="O49" i="1" s="1"/>
  <c r="L49" i="1"/>
  <c r="M49" i="1" s="1"/>
  <c r="P49" i="1" s="1"/>
  <c r="N50" i="1"/>
  <c r="O50" i="1" s="1"/>
  <c r="L50" i="1"/>
  <c r="M50" i="1" s="1"/>
  <c r="P50" i="1" s="1"/>
  <c r="N51" i="1"/>
  <c r="O51" i="1" s="1"/>
  <c r="L51" i="1"/>
  <c r="M51" i="1" s="1"/>
  <c r="P51" i="1" s="1"/>
  <c r="N52" i="1"/>
  <c r="O52" i="1" s="1"/>
  <c r="L52" i="1"/>
  <c r="M52" i="1" s="1"/>
  <c r="P52" i="1" s="1"/>
  <c r="N53" i="1"/>
  <c r="O53" i="1" s="1"/>
  <c r="L53" i="1"/>
  <c r="M53" i="1" s="1"/>
  <c r="P53" i="1" s="1"/>
  <c r="N54" i="1"/>
  <c r="O54" i="1" s="1"/>
  <c r="L54" i="1"/>
  <c r="M54" i="1" s="1"/>
  <c r="P54" i="1" s="1"/>
  <c r="N55" i="1"/>
  <c r="O55" i="1" s="1"/>
  <c r="L55" i="1"/>
  <c r="M55" i="1" s="1"/>
  <c r="P55" i="1" s="1"/>
  <c r="N56" i="1"/>
  <c r="O56" i="1" s="1"/>
  <c r="L56" i="1"/>
  <c r="M56" i="1" s="1"/>
  <c r="P56" i="1" s="1"/>
  <c r="N57" i="1"/>
  <c r="O57" i="1" s="1"/>
  <c r="L57" i="1"/>
  <c r="M57" i="1" s="1"/>
  <c r="P57" i="1" s="1"/>
  <c r="N58" i="1"/>
  <c r="O58" i="1" s="1"/>
  <c r="L58" i="1"/>
  <c r="M58" i="1" s="1"/>
  <c r="P58" i="1" s="1"/>
  <c r="N59" i="1"/>
  <c r="O59" i="1" s="1"/>
  <c r="L59" i="1"/>
  <c r="M59" i="1" s="1"/>
  <c r="P59" i="1" s="1"/>
  <c r="N60" i="1"/>
  <c r="O60" i="1" s="1"/>
  <c r="L60" i="1"/>
  <c r="M60" i="1" s="1"/>
  <c r="P60" i="1" s="1"/>
  <c r="N61" i="1"/>
  <c r="O61" i="1" s="1"/>
  <c r="L61" i="1"/>
  <c r="M61" i="1" s="1"/>
  <c r="P61" i="1" s="1"/>
  <c r="N62" i="1"/>
  <c r="O62" i="1" s="1"/>
  <c r="L62" i="1"/>
  <c r="M62" i="1" s="1"/>
  <c r="P62" i="1" s="1"/>
  <c r="N63" i="1"/>
  <c r="O63" i="1" s="1"/>
  <c r="L63" i="1"/>
  <c r="M63" i="1" s="1"/>
  <c r="P63" i="1" s="1"/>
  <c r="N64" i="1"/>
  <c r="O64" i="1" s="1"/>
  <c r="L64" i="1"/>
  <c r="M64" i="1" s="1"/>
  <c r="P64" i="1" s="1"/>
  <c r="N65" i="1"/>
  <c r="O65" i="1" s="1"/>
  <c r="L65" i="1"/>
  <c r="M65" i="1" s="1"/>
  <c r="P65" i="1" s="1"/>
  <c r="N66" i="1"/>
  <c r="O66" i="1" s="1"/>
  <c r="L66" i="1"/>
  <c r="M66" i="1" s="1"/>
  <c r="P66" i="1" s="1"/>
  <c r="N67" i="1"/>
  <c r="O67" i="1" s="1"/>
  <c r="L67" i="1"/>
  <c r="M67" i="1" s="1"/>
  <c r="P67" i="1" s="1"/>
  <c r="N68" i="1"/>
  <c r="O68" i="1" s="1"/>
  <c r="L68" i="1"/>
  <c r="M68" i="1" s="1"/>
  <c r="P68" i="1" s="1"/>
  <c r="N69" i="1"/>
  <c r="O69" i="1" s="1"/>
  <c r="L69" i="1"/>
  <c r="M69" i="1" s="1"/>
  <c r="P69" i="1" s="1"/>
  <c r="N70" i="1"/>
  <c r="O70" i="1" s="1"/>
  <c r="L70" i="1"/>
  <c r="M70" i="1" s="1"/>
  <c r="P70" i="1" s="1"/>
  <c r="N71" i="1"/>
  <c r="O71" i="1" s="1"/>
  <c r="L71" i="1"/>
  <c r="M71" i="1" s="1"/>
  <c r="P71" i="1" s="1"/>
  <c r="N72" i="1"/>
  <c r="O72" i="1" s="1"/>
  <c r="L72" i="1"/>
  <c r="M72" i="1" s="1"/>
  <c r="P72" i="1" s="1"/>
  <c r="N73" i="1"/>
  <c r="O73" i="1" s="1"/>
  <c r="L73" i="1"/>
  <c r="M73" i="1" s="1"/>
  <c r="P73" i="1" s="1"/>
  <c r="N74" i="1"/>
  <c r="O74" i="1" s="1"/>
  <c r="L74" i="1"/>
  <c r="M74" i="1" s="1"/>
  <c r="P74" i="1" s="1"/>
  <c r="N75" i="1"/>
  <c r="O75" i="1" s="1"/>
  <c r="L75" i="1"/>
  <c r="M75" i="1" s="1"/>
  <c r="P75" i="1" s="1"/>
  <c r="N76" i="1"/>
  <c r="O76" i="1" s="1"/>
  <c r="L76" i="1"/>
  <c r="M76" i="1" s="1"/>
  <c r="P76" i="1" s="1"/>
  <c r="N77" i="1"/>
  <c r="O77" i="1" s="1"/>
  <c r="L77" i="1"/>
  <c r="M77" i="1" s="1"/>
  <c r="P77" i="1" s="1"/>
  <c r="N78" i="1"/>
  <c r="O78" i="1" s="1"/>
  <c r="L78" i="1"/>
  <c r="M78" i="1" s="1"/>
  <c r="P78" i="1" s="1"/>
  <c r="N79" i="1"/>
  <c r="O79" i="1" s="1"/>
  <c r="L79" i="1"/>
  <c r="M79" i="1" s="1"/>
  <c r="P79" i="1" s="1"/>
  <c r="N80" i="1"/>
  <c r="O80" i="1" s="1"/>
  <c r="L80" i="1"/>
  <c r="M80" i="1" s="1"/>
  <c r="P80" i="1" s="1"/>
  <c r="N81" i="1"/>
  <c r="O81" i="1" s="1"/>
  <c r="L81" i="1"/>
  <c r="M81" i="1" s="1"/>
  <c r="P81" i="1" s="1"/>
  <c r="N82" i="1"/>
  <c r="O82" i="1" s="1"/>
  <c r="L82" i="1"/>
  <c r="M82" i="1" s="1"/>
  <c r="P82" i="1" s="1"/>
  <c r="N83" i="1"/>
  <c r="O83" i="1" s="1"/>
  <c r="L83" i="1"/>
  <c r="M83" i="1" s="1"/>
  <c r="P83" i="1" s="1"/>
  <c r="N84" i="1"/>
  <c r="O84" i="1" s="1"/>
  <c r="L84" i="1"/>
  <c r="M84" i="1" s="1"/>
  <c r="P84" i="1" s="1"/>
  <c r="N85" i="1"/>
  <c r="O85" i="1" s="1"/>
  <c r="L85" i="1"/>
  <c r="M85" i="1" s="1"/>
  <c r="P85" i="1" s="1"/>
  <c r="N86" i="1"/>
  <c r="O86" i="1" s="1"/>
  <c r="L86" i="1"/>
  <c r="M86" i="1" s="1"/>
  <c r="P86" i="1" s="1"/>
  <c r="N87" i="1"/>
  <c r="O87" i="1" s="1"/>
  <c r="L87" i="1"/>
  <c r="M87" i="1" s="1"/>
  <c r="P87" i="1" s="1"/>
  <c r="N88" i="1"/>
  <c r="O88" i="1" s="1"/>
  <c r="L88" i="1"/>
  <c r="M88" i="1" s="1"/>
  <c r="P88" i="1" s="1"/>
  <c r="N89" i="1"/>
  <c r="O89" i="1" s="1"/>
  <c r="L89" i="1"/>
  <c r="M89" i="1" s="1"/>
  <c r="P89" i="1" s="1"/>
  <c r="N90" i="1"/>
  <c r="O90" i="1" s="1"/>
  <c r="L90" i="1"/>
  <c r="M90" i="1" s="1"/>
  <c r="P90" i="1" s="1"/>
  <c r="N91" i="1"/>
  <c r="O91" i="1" s="1"/>
  <c r="L91" i="1"/>
  <c r="M91" i="1" s="1"/>
  <c r="P91" i="1" s="1"/>
  <c r="N92" i="1"/>
  <c r="O92" i="1" s="1"/>
  <c r="L92" i="1"/>
  <c r="M92" i="1" s="1"/>
  <c r="P92" i="1" s="1"/>
  <c r="N93" i="1"/>
  <c r="O93" i="1" s="1"/>
  <c r="L93" i="1"/>
  <c r="M93" i="1" s="1"/>
  <c r="P93" i="1" s="1"/>
  <c r="N94" i="1"/>
  <c r="O94" i="1" s="1"/>
  <c r="L94" i="1"/>
  <c r="M94" i="1" s="1"/>
  <c r="P94" i="1" s="1"/>
  <c r="N95" i="1"/>
  <c r="O95" i="1" s="1"/>
  <c r="L95" i="1"/>
  <c r="M95" i="1" s="1"/>
  <c r="P95" i="1" s="1"/>
  <c r="N96" i="1"/>
  <c r="O96" i="1" s="1"/>
  <c r="L96" i="1"/>
  <c r="M96" i="1" s="1"/>
  <c r="P96" i="1" s="1"/>
  <c r="N97" i="1"/>
  <c r="O97" i="1" s="1"/>
  <c r="L97" i="1"/>
  <c r="M97" i="1" s="1"/>
  <c r="P97" i="1" s="1"/>
  <c r="N98" i="1"/>
  <c r="O98" i="1" s="1"/>
  <c r="L98" i="1"/>
  <c r="M98" i="1" s="1"/>
  <c r="P98" i="1" s="1"/>
  <c r="N99" i="1"/>
  <c r="O99" i="1" s="1"/>
  <c r="L99" i="1"/>
  <c r="M99" i="1" s="1"/>
  <c r="P99" i="1" s="1"/>
  <c r="N100" i="1"/>
  <c r="O100" i="1" s="1"/>
  <c r="L100" i="1"/>
  <c r="M100" i="1" s="1"/>
  <c r="P100" i="1" s="1"/>
  <c r="N101" i="1"/>
  <c r="O101" i="1" s="1"/>
  <c r="L101" i="1"/>
  <c r="M101" i="1" s="1"/>
  <c r="P101" i="1" s="1"/>
  <c r="N102" i="1"/>
  <c r="O102" i="1" s="1"/>
  <c r="L102" i="1"/>
  <c r="M102" i="1" s="1"/>
  <c r="P102" i="1" s="1"/>
  <c r="N103" i="1"/>
  <c r="O103" i="1" s="1"/>
  <c r="L103" i="1"/>
  <c r="M103" i="1" s="1"/>
  <c r="P103" i="1" s="1"/>
  <c r="N104" i="1"/>
  <c r="O104" i="1" s="1"/>
  <c r="L104" i="1"/>
  <c r="M104" i="1" s="1"/>
  <c r="P104" i="1" s="1"/>
  <c r="N105" i="1"/>
  <c r="O105" i="1" s="1"/>
  <c r="L105" i="1"/>
  <c r="M105" i="1" s="1"/>
  <c r="P105" i="1" s="1"/>
  <c r="N106" i="1"/>
  <c r="O106" i="1" s="1"/>
  <c r="L106" i="1"/>
  <c r="M106" i="1" s="1"/>
  <c r="P106" i="1" s="1"/>
  <c r="N107" i="1"/>
  <c r="O107" i="1" s="1"/>
  <c r="L107" i="1"/>
  <c r="M107" i="1" s="1"/>
  <c r="P107" i="1" s="1"/>
  <c r="N108" i="1"/>
  <c r="O108" i="1" s="1"/>
  <c r="L108" i="1"/>
  <c r="M108" i="1" s="1"/>
  <c r="P108" i="1" s="1"/>
  <c r="N109" i="1"/>
  <c r="O109" i="1" s="1"/>
  <c r="L109" i="1"/>
  <c r="M109" i="1" s="1"/>
  <c r="P109" i="1" s="1"/>
  <c r="N110" i="1"/>
  <c r="O110" i="1" s="1"/>
  <c r="L110" i="1"/>
  <c r="M110" i="1" s="1"/>
  <c r="P110" i="1" s="1"/>
  <c r="N111" i="1"/>
  <c r="O111" i="1" s="1"/>
  <c r="L111" i="1"/>
  <c r="M111" i="1" s="1"/>
  <c r="P111" i="1" s="1"/>
  <c r="N112" i="1"/>
  <c r="O112" i="1" s="1"/>
  <c r="L112" i="1"/>
  <c r="M112" i="1" s="1"/>
  <c r="P112" i="1" s="1"/>
  <c r="N113" i="1"/>
  <c r="O113" i="1" s="1"/>
  <c r="L113" i="1"/>
  <c r="M113" i="1" s="1"/>
  <c r="P113" i="1" s="1"/>
  <c r="N114" i="1"/>
  <c r="O114" i="1" s="1"/>
  <c r="L114" i="1"/>
  <c r="M114" i="1" s="1"/>
  <c r="P114" i="1" s="1"/>
  <c r="N115" i="1"/>
  <c r="O115" i="1" s="1"/>
  <c r="L115" i="1"/>
  <c r="M115" i="1" s="1"/>
  <c r="P115" i="1" s="1"/>
  <c r="N116" i="1"/>
  <c r="O116" i="1" s="1"/>
  <c r="L116" i="1"/>
  <c r="M116" i="1" s="1"/>
  <c r="P116" i="1" s="1"/>
  <c r="N117" i="1"/>
  <c r="O117" i="1" s="1"/>
  <c r="L117" i="1"/>
  <c r="M117" i="1" s="1"/>
  <c r="P117" i="1" s="1"/>
  <c r="N118" i="1"/>
  <c r="O118" i="1" s="1"/>
  <c r="L118" i="1"/>
  <c r="M118" i="1" s="1"/>
  <c r="P118" i="1" s="1"/>
  <c r="N119" i="1"/>
  <c r="O119" i="1" s="1"/>
  <c r="L119" i="1"/>
  <c r="M119" i="1" s="1"/>
  <c r="P119" i="1" s="1"/>
  <c r="N120" i="1"/>
  <c r="O120" i="1" s="1"/>
  <c r="L120" i="1"/>
  <c r="M120" i="1" s="1"/>
  <c r="P120" i="1" s="1"/>
  <c r="N121" i="1"/>
  <c r="O121" i="1" s="1"/>
  <c r="L121" i="1"/>
  <c r="M121" i="1" s="1"/>
  <c r="P121" i="1" s="1"/>
  <c r="N122" i="1"/>
  <c r="O122" i="1" s="1"/>
  <c r="L122" i="1"/>
  <c r="M122" i="1" s="1"/>
  <c r="P122" i="1" s="1"/>
  <c r="N123" i="1"/>
  <c r="O123" i="1" s="1"/>
  <c r="L123" i="1"/>
  <c r="M123" i="1" s="1"/>
  <c r="P123" i="1" s="1"/>
  <c r="N124" i="1"/>
  <c r="O124" i="1" s="1"/>
  <c r="L124" i="1"/>
  <c r="M124" i="1" s="1"/>
  <c r="P124" i="1" s="1"/>
  <c r="N125" i="1"/>
  <c r="O125" i="1" s="1"/>
  <c r="L125" i="1"/>
  <c r="M125" i="1" s="1"/>
  <c r="P125" i="1" s="1"/>
  <c r="N126" i="1"/>
  <c r="O126" i="1" s="1"/>
  <c r="L126" i="1"/>
  <c r="M126" i="1" s="1"/>
  <c r="P126" i="1" s="1"/>
  <c r="N127" i="1"/>
  <c r="O127" i="1" s="1"/>
  <c r="L127" i="1"/>
  <c r="M127" i="1" s="1"/>
  <c r="P127" i="1" s="1"/>
  <c r="N128" i="1"/>
  <c r="O128" i="1" s="1"/>
  <c r="L128" i="1"/>
  <c r="M128" i="1" s="1"/>
  <c r="P128" i="1" s="1"/>
  <c r="N129" i="1"/>
  <c r="O129" i="1" s="1"/>
  <c r="L129" i="1"/>
  <c r="M129" i="1" s="1"/>
  <c r="P129" i="1" s="1"/>
  <c r="N130" i="1"/>
  <c r="O130" i="1" s="1"/>
  <c r="L130" i="1"/>
  <c r="M130" i="1" s="1"/>
  <c r="P130" i="1" s="1"/>
  <c r="N131" i="1"/>
  <c r="O131" i="1" s="1"/>
  <c r="L131" i="1"/>
  <c r="M131" i="1" s="1"/>
  <c r="P131" i="1" s="1"/>
  <c r="N132" i="1"/>
  <c r="O132" i="1" s="1"/>
  <c r="L132" i="1"/>
  <c r="M132" i="1" s="1"/>
  <c r="P132" i="1" s="1"/>
  <c r="N133" i="1"/>
  <c r="O133" i="1" s="1"/>
  <c r="L133" i="1"/>
  <c r="M133" i="1" s="1"/>
  <c r="P133" i="1" s="1"/>
  <c r="N134" i="1"/>
  <c r="O134" i="1" s="1"/>
  <c r="L134" i="1"/>
  <c r="M134" i="1" s="1"/>
  <c r="P134" i="1" s="1"/>
  <c r="N135" i="1"/>
  <c r="O135" i="1" s="1"/>
  <c r="L135" i="1"/>
  <c r="M135" i="1" s="1"/>
  <c r="P135" i="1" s="1"/>
  <c r="N136" i="1"/>
  <c r="O136" i="1" s="1"/>
  <c r="L136" i="1"/>
  <c r="M136" i="1" s="1"/>
  <c r="P136" i="1" s="1"/>
  <c r="N137" i="1"/>
  <c r="O137" i="1" s="1"/>
  <c r="L137" i="1"/>
  <c r="M137" i="1" s="1"/>
  <c r="P137" i="1" s="1"/>
  <c r="N138" i="1"/>
  <c r="O138" i="1" s="1"/>
  <c r="L138" i="1"/>
  <c r="M138" i="1" s="1"/>
  <c r="P138" i="1" s="1"/>
  <c r="N139" i="1"/>
  <c r="O139" i="1" s="1"/>
  <c r="L139" i="1"/>
  <c r="M139" i="1" s="1"/>
  <c r="P139" i="1" s="1"/>
  <c r="N140" i="1"/>
  <c r="O140" i="1" s="1"/>
  <c r="L140" i="1"/>
  <c r="M140" i="1" s="1"/>
  <c r="P140" i="1" s="1"/>
  <c r="N141" i="1"/>
  <c r="O141" i="1" s="1"/>
  <c r="L141" i="1"/>
  <c r="M141" i="1" s="1"/>
  <c r="P141" i="1" s="1"/>
  <c r="N142" i="1"/>
  <c r="O142" i="1" s="1"/>
  <c r="L142" i="1"/>
  <c r="M142" i="1" s="1"/>
  <c r="P142" i="1" s="1"/>
  <c r="N143" i="1"/>
  <c r="O143" i="1" s="1"/>
  <c r="L143" i="1"/>
  <c r="M143" i="1" s="1"/>
  <c r="P143" i="1" s="1"/>
  <c r="N144" i="1"/>
  <c r="O144" i="1" s="1"/>
  <c r="L144" i="1"/>
  <c r="M144" i="1" s="1"/>
  <c r="P144" i="1" s="1"/>
  <c r="N145" i="1"/>
  <c r="O145" i="1" s="1"/>
  <c r="L145" i="1"/>
  <c r="M145" i="1" s="1"/>
  <c r="P145" i="1" s="1"/>
  <c r="N146" i="1"/>
  <c r="O146" i="1" s="1"/>
  <c r="L146" i="1"/>
  <c r="M146" i="1" s="1"/>
  <c r="P146" i="1" s="1"/>
  <c r="N147" i="1"/>
  <c r="O147" i="1" s="1"/>
  <c r="L147" i="1"/>
  <c r="M147" i="1" s="1"/>
  <c r="P147" i="1" s="1"/>
  <c r="N148" i="1"/>
  <c r="O148" i="1" s="1"/>
  <c r="L148" i="1"/>
  <c r="M148" i="1" s="1"/>
  <c r="P148" i="1" s="1"/>
  <c r="N149" i="1"/>
  <c r="O149" i="1" s="1"/>
  <c r="L149" i="1"/>
  <c r="M149" i="1" s="1"/>
  <c r="P149" i="1" s="1"/>
  <c r="N150" i="1"/>
  <c r="O150" i="1" s="1"/>
  <c r="L150" i="1"/>
  <c r="M150" i="1" s="1"/>
  <c r="P150" i="1" s="1"/>
  <c r="N151" i="1"/>
  <c r="O151" i="1" s="1"/>
  <c r="L151" i="1"/>
  <c r="M151" i="1" s="1"/>
  <c r="P151" i="1" s="1"/>
  <c r="N152" i="1"/>
  <c r="O152" i="1" s="1"/>
  <c r="L152" i="1"/>
  <c r="M152" i="1" s="1"/>
  <c r="P152" i="1" s="1"/>
  <c r="N153" i="1"/>
  <c r="O153" i="1" s="1"/>
  <c r="L153" i="1"/>
  <c r="M153" i="1" s="1"/>
  <c r="P153" i="1" s="1"/>
  <c r="N154" i="1"/>
  <c r="O154" i="1" s="1"/>
  <c r="L154" i="1"/>
  <c r="M154" i="1" s="1"/>
  <c r="P154" i="1" s="1"/>
  <c r="N155" i="1"/>
  <c r="O155" i="1" s="1"/>
  <c r="L155" i="1"/>
  <c r="M155" i="1" s="1"/>
  <c r="P155" i="1" s="1"/>
  <c r="N156" i="1"/>
  <c r="O156" i="1" s="1"/>
  <c r="L156" i="1"/>
  <c r="M156" i="1" s="1"/>
  <c r="P156" i="1" s="1"/>
  <c r="N157" i="1"/>
  <c r="O157" i="1" s="1"/>
  <c r="L157" i="1"/>
  <c r="M157" i="1" s="1"/>
  <c r="P157" i="1" s="1"/>
  <c r="N158" i="1"/>
  <c r="O158" i="1" s="1"/>
  <c r="L158" i="1"/>
  <c r="M158" i="1" s="1"/>
  <c r="P158" i="1" s="1"/>
  <c r="N159" i="1"/>
  <c r="O159" i="1" s="1"/>
  <c r="L159" i="1"/>
  <c r="M159" i="1" s="1"/>
  <c r="P159" i="1" s="1"/>
  <c r="N160" i="1"/>
  <c r="O160" i="1" s="1"/>
  <c r="L160" i="1"/>
  <c r="M160" i="1" s="1"/>
  <c r="P160" i="1" s="1"/>
  <c r="N161" i="1"/>
  <c r="O161" i="1" s="1"/>
  <c r="L161" i="1"/>
  <c r="M161" i="1" s="1"/>
  <c r="P161" i="1" s="1"/>
  <c r="N162" i="1"/>
  <c r="O162" i="1" s="1"/>
  <c r="L162" i="1"/>
  <c r="M162" i="1" s="1"/>
  <c r="P162" i="1" s="1"/>
  <c r="N163" i="1"/>
  <c r="O163" i="1" s="1"/>
  <c r="L163" i="1"/>
  <c r="M163" i="1" s="1"/>
  <c r="P163" i="1" s="1"/>
  <c r="N164" i="1"/>
  <c r="O164" i="1" s="1"/>
  <c r="L164" i="1"/>
  <c r="M164" i="1" s="1"/>
  <c r="P164" i="1" s="1"/>
  <c r="N165" i="1"/>
  <c r="O165" i="1" s="1"/>
  <c r="L165" i="1"/>
  <c r="M165" i="1" s="1"/>
  <c r="P165" i="1" s="1"/>
  <c r="N166" i="1"/>
  <c r="O166" i="1" s="1"/>
  <c r="L166" i="1"/>
  <c r="M166" i="1" s="1"/>
  <c r="P166" i="1" s="1"/>
  <c r="N167" i="1"/>
  <c r="O167" i="1" s="1"/>
  <c r="L167" i="1"/>
  <c r="M167" i="1" s="1"/>
  <c r="P167" i="1" s="1"/>
  <c r="N168" i="1"/>
  <c r="O168" i="1" s="1"/>
  <c r="L168" i="1"/>
  <c r="M168" i="1" s="1"/>
  <c r="P168" i="1" s="1"/>
  <c r="N169" i="1"/>
  <c r="O169" i="1" s="1"/>
  <c r="L169" i="1"/>
  <c r="M169" i="1" s="1"/>
  <c r="P169" i="1" s="1"/>
  <c r="N170" i="1"/>
  <c r="O170" i="1" s="1"/>
  <c r="L170" i="1"/>
  <c r="M170" i="1" s="1"/>
  <c r="P170" i="1" s="1"/>
  <c r="N171" i="1"/>
  <c r="O171" i="1" s="1"/>
  <c r="L171" i="1"/>
  <c r="M171" i="1" s="1"/>
  <c r="P171" i="1" s="1"/>
  <c r="N172" i="1"/>
  <c r="O172" i="1" s="1"/>
  <c r="L172" i="1"/>
  <c r="M172" i="1" s="1"/>
  <c r="P172" i="1" s="1"/>
  <c r="N173" i="1"/>
  <c r="O173" i="1" s="1"/>
  <c r="L173" i="1"/>
  <c r="M173" i="1" s="1"/>
  <c r="P173" i="1" s="1"/>
  <c r="N174" i="1"/>
  <c r="O174" i="1" s="1"/>
  <c r="L174" i="1"/>
  <c r="M174" i="1" s="1"/>
  <c r="P174" i="1" s="1"/>
  <c r="N175" i="1"/>
  <c r="O175" i="1" s="1"/>
  <c r="L175" i="1"/>
  <c r="M175" i="1" s="1"/>
  <c r="P175" i="1" s="1"/>
  <c r="N176" i="1"/>
  <c r="O176" i="1" s="1"/>
  <c r="L176" i="1"/>
  <c r="M176" i="1" s="1"/>
  <c r="P176" i="1" s="1"/>
  <c r="N177" i="1"/>
  <c r="O177" i="1" s="1"/>
  <c r="L177" i="1"/>
  <c r="M177" i="1" s="1"/>
  <c r="P177" i="1" s="1"/>
  <c r="N178" i="1"/>
  <c r="O178" i="1" s="1"/>
  <c r="L178" i="1"/>
  <c r="M178" i="1" s="1"/>
  <c r="P178" i="1" s="1"/>
  <c r="N179" i="1"/>
  <c r="O179" i="1" s="1"/>
  <c r="L179" i="1"/>
  <c r="M179" i="1" s="1"/>
  <c r="P179" i="1" s="1"/>
  <c r="N180" i="1"/>
  <c r="O180" i="1" s="1"/>
  <c r="L180" i="1"/>
  <c r="M180" i="1" s="1"/>
  <c r="P180" i="1" s="1"/>
  <c r="N181" i="1"/>
  <c r="O181" i="1" s="1"/>
  <c r="L181" i="1"/>
  <c r="M181" i="1" s="1"/>
  <c r="P181" i="1" s="1"/>
  <c r="N182" i="1"/>
  <c r="O182" i="1" s="1"/>
  <c r="L182" i="1"/>
  <c r="M182" i="1" s="1"/>
  <c r="P182" i="1" s="1"/>
  <c r="N183" i="1"/>
  <c r="O183" i="1" s="1"/>
  <c r="L183" i="1"/>
  <c r="M183" i="1" s="1"/>
  <c r="P183" i="1" s="1"/>
  <c r="N184" i="1"/>
  <c r="O184" i="1" s="1"/>
  <c r="L184" i="1"/>
  <c r="M184" i="1" s="1"/>
  <c r="P184" i="1" s="1"/>
  <c r="N185" i="1"/>
  <c r="O185" i="1" s="1"/>
  <c r="L185" i="1"/>
  <c r="M185" i="1" s="1"/>
  <c r="P185" i="1" s="1"/>
  <c r="N186" i="1"/>
  <c r="O186" i="1" s="1"/>
  <c r="L186" i="1"/>
  <c r="M186" i="1" s="1"/>
  <c r="P186" i="1" s="1"/>
  <c r="N187" i="1"/>
  <c r="O187" i="1" s="1"/>
  <c r="L187" i="1"/>
  <c r="M187" i="1" s="1"/>
  <c r="P187" i="1" s="1"/>
  <c r="N188" i="1"/>
  <c r="O188" i="1" s="1"/>
  <c r="L188" i="1"/>
  <c r="M188" i="1" s="1"/>
  <c r="P188" i="1" s="1"/>
  <c r="N189" i="1"/>
  <c r="O189" i="1" s="1"/>
  <c r="L189" i="1"/>
  <c r="M189" i="1" s="1"/>
  <c r="P189" i="1" s="1"/>
  <c r="N190" i="1"/>
  <c r="O190" i="1" s="1"/>
  <c r="L190" i="1"/>
  <c r="M190" i="1" s="1"/>
  <c r="P190" i="1" s="1"/>
  <c r="N191" i="1"/>
  <c r="O191" i="1" s="1"/>
  <c r="L191" i="1"/>
  <c r="M191" i="1" s="1"/>
  <c r="P191" i="1" s="1"/>
  <c r="N192" i="1"/>
  <c r="O192" i="1" s="1"/>
  <c r="L192" i="1"/>
  <c r="M192" i="1" s="1"/>
  <c r="P192" i="1" s="1"/>
  <c r="N193" i="1"/>
  <c r="O193" i="1" s="1"/>
  <c r="L193" i="1"/>
  <c r="M193" i="1" s="1"/>
  <c r="P193" i="1" s="1"/>
  <c r="N194" i="1"/>
  <c r="O194" i="1" s="1"/>
  <c r="L194" i="1"/>
  <c r="M194" i="1" s="1"/>
  <c r="P194" i="1" s="1"/>
  <c r="N195" i="1"/>
  <c r="O195" i="1" s="1"/>
  <c r="L195" i="1"/>
  <c r="M195" i="1" s="1"/>
  <c r="P195" i="1" s="1"/>
  <c r="N196" i="1"/>
  <c r="O196" i="1" s="1"/>
  <c r="L196" i="1"/>
  <c r="M196" i="1" s="1"/>
  <c r="P196" i="1" s="1"/>
  <c r="N197" i="1"/>
  <c r="O197" i="1" s="1"/>
  <c r="L197" i="1"/>
  <c r="M197" i="1" s="1"/>
  <c r="P197" i="1" s="1"/>
  <c r="N198" i="1"/>
  <c r="O198" i="1" s="1"/>
  <c r="L198" i="1"/>
  <c r="M198" i="1" s="1"/>
  <c r="P198" i="1" s="1"/>
  <c r="N199" i="1"/>
  <c r="O199" i="1" s="1"/>
  <c r="L199" i="1"/>
  <c r="M199" i="1" s="1"/>
  <c r="P199" i="1" s="1"/>
  <c r="N200" i="1"/>
  <c r="O200" i="1" s="1"/>
  <c r="L200" i="1"/>
  <c r="M200" i="1" s="1"/>
  <c r="P200" i="1" s="1"/>
  <c r="N201" i="1"/>
  <c r="O201" i="1" s="1"/>
  <c r="L201" i="1"/>
  <c r="M201" i="1" s="1"/>
  <c r="P201" i="1" s="1"/>
  <c r="N202" i="1"/>
  <c r="O202" i="1" s="1"/>
  <c r="L202" i="1"/>
  <c r="M202" i="1" s="1"/>
  <c r="P202" i="1" s="1"/>
  <c r="N203" i="1"/>
  <c r="O203" i="1" s="1"/>
  <c r="L203" i="1"/>
  <c r="M203" i="1" s="1"/>
  <c r="P203" i="1" s="1"/>
  <c r="N204" i="1"/>
  <c r="O204" i="1" s="1"/>
  <c r="L204" i="1"/>
  <c r="M204" i="1" s="1"/>
  <c r="P204" i="1" s="1"/>
  <c r="N205" i="1"/>
  <c r="O205" i="1" s="1"/>
  <c r="L205" i="1"/>
  <c r="M205" i="1" s="1"/>
  <c r="P205" i="1" s="1"/>
  <c r="N206" i="1"/>
  <c r="O206" i="1" s="1"/>
  <c r="L206" i="1"/>
  <c r="M206" i="1" s="1"/>
  <c r="P206" i="1" s="1"/>
  <c r="N207" i="1"/>
  <c r="O207" i="1" s="1"/>
  <c r="L207" i="1"/>
  <c r="M207" i="1" s="1"/>
  <c r="P207" i="1" s="1"/>
  <c r="N208" i="1"/>
  <c r="O208" i="1" s="1"/>
  <c r="L208" i="1"/>
  <c r="M208" i="1" s="1"/>
  <c r="P208" i="1" s="1"/>
  <c r="N209" i="1"/>
  <c r="O209" i="1" s="1"/>
  <c r="L209" i="1"/>
  <c r="M209" i="1" s="1"/>
  <c r="P209" i="1" s="1"/>
  <c r="N210" i="1"/>
  <c r="O210" i="1" s="1"/>
  <c r="L210" i="1"/>
  <c r="M210" i="1" s="1"/>
  <c r="P210" i="1" s="1"/>
  <c r="N211" i="1"/>
  <c r="O211" i="1" s="1"/>
  <c r="L211" i="1"/>
  <c r="M211" i="1" s="1"/>
  <c r="P211" i="1" s="1"/>
  <c r="N212" i="1"/>
  <c r="O212" i="1" s="1"/>
  <c r="L212" i="1"/>
  <c r="M212" i="1" s="1"/>
  <c r="P212" i="1" s="1"/>
  <c r="N213" i="1"/>
  <c r="O213" i="1" s="1"/>
  <c r="L213" i="1"/>
  <c r="M213" i="1" s="1"/>
  <c r="P213" i="1" s="1"/>
  <c r="N214" i="1"/>
  <c r="O214" i="1" s="1"/>
  <c r="L214" i="1"/>
  <c r="M214" i="1" s="1"/>
  <c r="P214" i="1" s="1"/>
  <c r="N215" i="1"/>
  <c r="O215" i="1" s="1"/>
  <c r="L215" i="1"/>
  <c r="M215" i="1" s="1"/>
  <c r="P215" i="1" s="1"/>
  <c r="N216" i="1"/>
  <c r="O216" i="1" s="1"/>
  <c r="L216" i="1"/>
  <c r="M216" i="1" s="1"/>
  <c r="P216" i="1" s="1"/>
  <c r="N217" i="1"/>
  <c r="O217" i="1" s="1"/>
  <c r="L217" i="1"/>
  <c r="M217" i="1" s="1"/>
  <c r="P217" i="1" s="1"/>
  <c r="N218" i="1"/>
  <c r="O218" i="1" s="1"/>
  <c r="L218" i="1"/>
  <c r="M218" i="1" s="1"/>
  <c r="P218" i="1" s="1"/>
  <c r="N219" i="1"/>
  <c r="O219" i="1" s="1"/>
  <c r="L219" i="1"/>
  <c r="M219" i="1" s="1"/>
  <c r="P219" i="1" s="1"/>
  <c r="N220" i="1"/>
  <c r="O220" i="1" s="1"/>
  <c r="L220" i="1"/>
  <c r="M220" i="1" s="1"/>
  <c r="P220" i="1" s="1"/>
  <c r="N221" i="1"/>
  <c r="O221" i="1" s="1"/>
  <c r="L221" i="1"/>
  <c r="M221" i="1" s="1"/>
  <c r="P221" i="1" s="1"/>
  <c r="N222" i="1"/>
  <c r="O222" i="1" s="1"/>
  <c r="L222" i="1"/>
  <c r="M222" i="1" s="1"/>
  <c r="P222" i="1" s="1"/>
  <c r="N223" i="1"/>
  <c r="O223" i="1" s="1"/>
  <c r="L223" i="1"/>
  <c r="M223" i="1" s="1"/>
  <c r="P223" i="1" s="1"/>
  <c r="N224" i="1"/>
  <c r="O224" i="1" s="1"/>
  <c r="L224" i="1"/>
  <c r="M224" i="1" s="1"/>
  <c r="P224" i="1" s="1"/>
  <c r="N225" i="1"/>
  <c r="O225" i="1" s="1"/>
  <c r="L225" i="1"/>
  <c r="M225" i="1" s="1"/>
  <c r="P225" i="1" s="1"/>
  <c r="N226" i="1"/>
  <c r="O226" i="1" s="1"/>
  <c r="L226" i="1"/>
  <c r="M226" i="1" s="1"/>
  <c r="P226" i="1" s="1"/>
  <c r="N227" i="1"/>
  <c r="O227" i="1" s="1"/>
  <c r="L227" i="1"/>
  <c r="M227" i="1" s="1"/>
  <c r="P227" i="1" s="1"/>
  <c r="N228" i="1"/>
  <c r="O228" i="1" s="1"/>
  <c r="L228" i="1"/>
  <c r="M228" i="1" s="1"/>
  <c r="P228" i="1" s="1"/>
  <c r="N229" i="1"/>
  <c r="O229" i="1" s="1"/>
  <c r="L229" i="1"/>
  <c r="M229" i="1" s="1"/>
  <c r="P229" i="1" s="1"/>
  <c r="N230" i="1"/>
  <c r="O230" i="1" s="1"/>
  <c r="L230" i="1"/>
  <c r="M230" i="1" s="1"/>
  <c r="P230" i="1" s="1"/>
  <c r="N231" i="1"/>
  <c r="O231" i="1" s="1"/>
  <c r="L231" i="1"/>
  <c r="M231" i="1" s="1"/>
  <c r="P231" i="1" s="1"/>
  <c r="N232" i="1"/>
  <c r="O232" i="1" s="1"/>
  <c r="L232" i="1"/>
  <c r="M232" i="1" s="1"/>
  <c r="P232" i="1" s="1"/>
  <c r="N233" i="1"/>
  <c r="O233" i="1" s="1"/>
  <c r="L233" i="1"/>
  <c r="M233" i="1" s="1"/>
  <c r="P233" i="1" s="1"/>
  <c r="N234" i="1"/>
  <c r="O234" i="1" s="1"/>
  <c r="L234" i="1"/>
  <c r="M234" i="1" s="1"/>
  <c r="P234" i="1" s="1"/>
  <c r="N235" i="1"/>
  <c r="O235" i="1" s="1"/>
  <c r="L235" i="1"/>
  <c r="M235" i="1" s="1"/>
  <c r="P235" i="1" s="1"/>
  <c r="N236" i="1"/>
  <c r="O236" i="1" s="1"/>
  <c r="L236" i="1"/>
  <c r="M236" i="1" s="1"/>
  <c r="P236" i="1" s="1"/>
  <c r="N237" i="1"/>
  <c r="O237" i="1" s="1"/>
  <c r="L237" i="1"/>
  <c r="M237" i="1" s="1"/>
  <c r="P237" i="1" s="1"/>
  <c r="N238" i="1"/>
  <c r="O238" i="1" s="1"/>
  <c r="L238" i="1"/>
  <c r="M238" i="1" s="1"/>
  <c r="P238" i="1" s="1"/>
  <c r="N239" i="1"/>
  <c r="O239" i="1" s="1"/>
  <c r="L239" i="1"/>
  <c r="M239" i="1" s="1"/>
  <c r="P239" i="1" s="1"/>
  <c r="N240" i="1"/>
  <c r="O240" i="1" s="1"/>
  <c r="L240" i="1"/>
  <c r="M240" i="1" s="1"/>
  <c r="P240" i="1" s="1"/>
  <c r="N241" i="1"/>
  <c r="O241" i="1" s="1"/>
  <c r="L241" i="1"/>
  <c r="M241" i="1" s="1"/>
  <c r="P241" i="1" s="1"/>
  <c r="N242" i="1"/>
  <c r="O242" i="1" s="1"/>
  <c r="L242" i="1"/>
  <c r="M242" i="1" s="1"/>
  <c r="P242" i="1" s="1"/>
  <c r="N243" i="1"/>
  <c r="O243" i="1" s="1"/>
  <c r="L243" i="1"/>
  <c r="M243" i="1" s="1"/>
  <c r="P243" i="1" s="1"/>
  <c r="N244" i="1"/>
  <c r="O244" i="1" s="1"/>
  <c r="L244" i="1"/>
  <c r="M244" i="1" s="1"/>
  <c r="P244" i="1" s="1"/>
  <c r="N245" i="1"/>
  <c r="O245" i="1" s="1"/>
  <c r="L245" i="1"/>
  <c r="M245" i="1" s="1"/>
  <c r="P245" i="1" s="1"/>
  <c r="N246" i="1"/>
  <c r="O246" i="1" s="1"/>
  <c r="L246" i="1"/>
  <c r="M246" i="1" s="1"/>
  <c r="P246" i="1" s="1"/>
  <c r="N247" i="1"/>
  <c r="O247" i="1" s="1"/>
  <c r="L247" i="1"/>
  <c r="M247" i="1" s="1"/>
  <c r="P247" i="1" s="1"/>
  <c r="N248" i="1"/>
  <c r="O248" i="1" s="1"/>
  <c r="L248" i="1"/>
  <c r="M248" i="1" s="1"/>
  <c r="P248" i="1" s="1"/>
  <c r="N249" i="1"/>
  <c r="O249" i="1" s="1"/>
  <c r="L249" i="1"/>
  <c r="M249" i="1" s="1"/>
  <c r="P249" i="1" s="1"/>
  <c r="N250" i="1"/>
  <c r="O250" i="1" s="1"/>
  <c r="L250" i="1"/>
  <c r="M250" i="1" s="1"/>
  <c r="P250" i="1" s="1"/>
  <c r="N251" i="1"/>
  <c r="O251" i="1" s="1"/>
  <c r="L251" i="1"/>
  <c r="M251" i="1" s="1"/>
  <c r="P251" i="1" s="1"/>
  <c r="N252" i="1"/>
  <c r="O252" i="1" s="1"/>
  <c r="L252" i="1"/>
  <c r="M252" i="1" s="1"/>
  <c r="P252" i="1" s="1"/>
  <c r="N253" i="1"/>
  <c r="O253" i="1" s="1"/>
  <c r="L253" i="1"/>
  <c r="M253" i="1" s="1"/>
  <c r="P253" i="1" s="1"/>
  <c r="N254" i="1"/>
  <c r="O254" i="1" s="1"/>
  <c r="L254" i="1"/>
  <c r="M254" i="1" s="1"/>
  <c r="P254" i="1" s="1"/>
  <c r="N255" i="1"/>
  <c r="O255" i="1" s="1"/>
  <c r="L255" i="1"/>
  <c r="M255" i="1" s="1"/>
  <c r="P255" i="1" s="1"/>
  <c r="N256" i="1"/>
  <c r="O256" i="1" s="1"/>
  <c r="L256" i="1"/>
  <c r="M256" i="1" s="1"/>
  <c r="P256" i="1" s="1"/>
  <c r="N257" i="1"/>
  <c r="O257" i="1" s="1"/>
  <c r="L257" i="1"/>
  <c r="M257" i="1" s="1"/>
  <c r="P257" i="1" s="1"/>
  <c r="N258" i="1"/>
  <c r="O258" i="1" s="1"/>
  <c r="L258" i="1"/>
  <c r="M258" i="1" s="1"/>
  <c r="P258" i="1" s="1"/>
  <c r="N259" i="1"/>
  <c r="O259" i="1" s="1"/>
  <c r="L259" i="1"/>
  <c r="M259" i="1" s="1"/>
  <c r="P259" i="1" s="1"/>
  <c r="N260" i="1"/>
  <c r="O260" i="1" s="1"/>
  <c r="L260" i="1"/>
  <c r="M260" i="1" s="1"/>
  <c r="P260" i="1" s="1"/>
  <c r="N261" i="1"/>
  <c r="O261" i="1" s="1"/>
  <c r="L261" i="1"/>
  <c r="M261" i="1" s="1"/>
  <c r="P261" i="1" s="1"/>
  <c r="N262" i="1"/>
  <c r="O262" i="1" s="1"/>
  <c r="L262" i="1"/>
  <c r="M262" i="1" s="1"/>
  <c r="P262" i="1" s="1"/>
  <c r="N263" i="1"/>
  <c r="O263" i="1" s="1"/>
  <c r="L263" i="1"/>
  <c r="M263" i="1" s="1"/>
  <c r="P263" i="1" s="1"/>
  <c r="N264" i="1"/>
  <c r="O264" i="1" s="1"/>
  <c r="L264" i="1"/>
  <c r="M264" i="1" s="1"/>
  <c r="P264" i="1" s="1"/>
  <c r="N265" i="1"/>
  <c r="O265" i="1" s="1"/>
  <c r="L265" i="1"/>
  <c r="M265" i="1" s="1"/>
  <c r="P265" i="1" s="1"/>
  <c r="N266" i="1"/>
  <c r="O266" i="1" s="1"/>
  <c r="L266" i="1"/>
  <c r="M266" i="1" s="1"/>
  <c r="P266" i="1" s="1"/>
  <c r="N267" i="1"/>
  <c r="O267" i="1" s="1"/>
  <c r="L267" i="1"/>
  <c r="M267" i="1" s="1"/>
  <c r="P267" i="1" s="1"/>
  <c r="N268" i="1"/>
  <c r="O268" i="1" s="1"/>
  <c r="L268" i="1"/>
  <c r="M268" i="1" s="1"/>
  <c r="P268" i="1" s="1"/>
  <c r="N269" i="1"/>
  <c r="O269" i="1" s="1"/>
  <c r="L269" i="1"/>
  <c r="M269" i="1" s="1"/>
  <c r="P269" i="1" s="1"/>
  <c r="N270" i="1"/>
  <c r="O270" i="1" s="1"/>
  <c r="L270" i="1"/>
  <c r="M270" i="1" s="1"/>
  <c r="P270" i="1" s="1"/>
  <c r="N271" i="1"/>
  <c r="O271" i="1" s="1"/>
  <c r="L271" i="1"/>
  <c r="M271" i="1" s="1"/>
  <c r="P271" i="1" s="1"/>
  <c r="N272" i="1"/>
  <c r="O272" i="1" s="1"/>
  <c r="L272" i="1"/>
  <c r="M272" i="1" s="1"/>
  <c r="P272" i="1" s="1"/>
  <c r="N273" i="1"/>
  <c r="O273" i="1" s="1"/>
  <c r="L273" i="1"/>
  <c r="M273" i="1" s="1"/>
  <c r="P273" i="1" s="1"/>
  <c r="N274" i="1"/>
  <c r="O274" i="1" s="1"/>
  <c r="L274" i="1"/>
  <c r="M274" i="1" s="1"/>
  <c r="P274" i="1" s="1"/>
  <c r="N275" i="1"/>
  <c r="O275" i="1" s="1"/>
  <c r="L275" i="1"/>
  <c r="M275" i="1" s="1"/>
  <c r="P275" i="1" s="1"/>
  <c r="N276" i="1"/>
  <c r="O276" i="1" s="1"/>
  <c r="L276" i="1"/>
  <c r="M276" i="1" s="1"/>
  <c r="P276" i="1" s="1"/>
  <c r="N277" i="1"/>
  <c r="O277" i="1" s="1"/>
  <c r="L277" i="1"/>
  <c r="M277" i="1" s="1"/>
  <c r="P277" i="1" s="1"/>
  <c r="N278" i="1"/>
  <c r="O278" i="1" s="1"/>
  <c r="L278" i="1"/>
  <c r="M278" i="1" s="1"/>
  <c r="P278" i="1" s="1"/>
  <c r="N279" i="1"/>
  <c r="O279" i="1" s="1"/>
  <c r="L279" i="1"/>
  <c r="M279" i="1" s="1"/>
  <c r="P279" i="1" s="1"/>
  <c r="N280" i="1"/>
  <c r="O280" i="1" s="1"/>
  <c r="L280" i="1"/>
  <c r="M280" i="1" s="1"/>
  <c r="P280" i="1" s="1"/>
  <c r="N281" i="1"/>
  <c r="O281" i="1" s="1"/>
  <c r="L281" i="1"/>
  <c r="M281" i="1" s="1"/>
  <c r="P281" i="1" s="1"/>
  <c r="N282" i="1"/>
  <c r="O282" i="1" s="1"/>
  <c r="L282" i="1"/>
  <c r="M282" i="1" s="1"/>
  <c r="P282" i="1" s="1"/>
  <c r="N283" i="1"/>
  <c r="O283" i="1" s="1"/>
  <c r="L283" i="1"/>
  <c r="M283" i="1" s="1"/>
  <c r="P283" i="1" s="1"/>
  <c r="N284" i="1"/>
  <c r="O284" i="1" s="1"/>
  <c r="L284" i="1"/>
  <c r="M284" i="1" s="1"/>
  <c r="P284" i="1" s="1"/>
  <c r="N285" i="1"/>
  <c r="O285" i="1" s="1"/>
  <c r="L285" i="1"/>
  <c r="M285" i="1" s="1"/>
  <c r="P285" i="1" s="1"/>
  <c r="N286" i="1"/>
  <c r="O286" i="1" s="1"/>
  <c r="L286" i="1"/>
  <c r="M286" i="1" s="1"/>
  <c r="P286" i="1" s="1"/>
  <c r="N287" i="1"/>
  <c r="O287" i="1" s="1"/>
  <c r="L287" i="1"/>
  <c r="M287" i="1" s="1"/>
  <c r="P287" i="1" s="1"/>
  <c r="N288" i="1"/>
  <c r="O288" i="1" s="1"/>
  <c r="L288" i="1"/>
  <c r="M288" i="1" s="1"/>
  <c r="P288" i="1" s="1"/>
  <c r="N289" i="1"/>
  <c r="O289" i="1" s="1"/>
  <c r="L289" i="1"/>
  <c r="M289" i="1" s="1"/>
  <c r="P289" i="1" s="1"/>
  <c r="N290" i="1"/>
  <c r="O290" i="1" s="1"/>
  <c r="L290" i="1"/>
  <c r="M290" i="1" s="1"/>
  <c r="P290" i="1" s="1"/>
  <c r="N291" i="1"/>
  <c r="O291" i="1" s="1"/>
  <c r="L291" i="1"/>
  <c r="M291" i="1" s="1"/>
  <c r="P291" i="1" s="1"/>
  <c r="N292" i="1"/>
  <c r="O292" i="1" s="1"/>
  <c r="L292" i="1"/>
  <c r="M292" i="1" s="1"/>
  <c r="P292" i="1" s="1"/>
  <c r="N293" i="1"/>
  <c r="O293" i="1" s="1"/>
  <c r="L293" i="1"/>
  <c r="M293" i="1" s="1"/>
  <c r="P293" i="1" s="1"/>
  <c r="N294" i="1"/>
  <c r="O294" i="1" s="1"/>
  <c r="L294" i="1"/>
  <c r="M294" i="1" s="1"/>
  <c r="P294" i="1" s="1"/>
  <c r="N295" i="1"/>
  <c r="O295" i="1" s="1"/>
  <c r="L295" i="1"/>
  <c r="M295" i="1" s="1"/>
  <c r="P295" i="1" s="1"/>
  <c r="N296" i="1"/>
  <c r="O296" i="1" s="1"/>
  <c r="L296" i="1"/>
  <c r="M296" i="1" s="1"/>
  <c r="P296" i="1" s="1"/>
  <c r="N297" i="1"/>
  <c r="O297" i="1" s="1"/>
  <c r="L297" i="1"/>
  <c r="M297" i="1" s="1"/>
  <c r="P297" i="1" s="1"/>
  <c r="N298" i="1"/>
  <c r="O298" i="1" s="1"/>
  <c r="L298" i="1"/>
  <c r="M298" i="1" s="1"/>
  <c r="P298" i="1" s="1"/>
  <c r="N299" i="1"/>
  <c r="O299" i="1" s="1"/>
  <c r="L299" i="1"/>
  <c r="M299" i="1" s="1"/>
  <c r="P299" i="1" s="1"/>
  <c r="N300" i="1"/>
  <c r="O300" i="1" s="1"/>
  <c r="L300" i="1"/>
  <c r="M300" i="1" s="1"/>
  <c r="P300" i="1" s="1"/>
  <c r="N301" i="1"/>
  <c r="O301" i="1" s="1"/>
  <c r="L301" i="1"/>
  <c r="M301" i="1" s="1"/>
  <c r="P301" i="1" s="1"/>
  <c r="N302" i="1"/>
  <c r="O302" i="1" s="1"/>
  <c r="L302" i="1"/>
  <c r="M302" i="1" s="1"/>
  <c r="P302" i="1" s="1"/>
  <c r="N303" i="1"/>
  <c r="O303" i="1" s="1"/>
  <c r="L303" i="1"/>
  <c r="M303" i="1" s="1"/>
  <c r="P303" i="1" s="1"/>
  <c r="N304" i="1"/>
  <c r="O304" i="1" s="1"/>
  <c r="L304" i="1"/>
  <c r="M304" i="1" s="1"/>
  <c r="P304" i="1" s="1"/>
  <c r="N305" i="1"/>
  <c r="O305" i="1" s="1"/>
  <c r="L305" i="1"/>
  <c r="M305" i="1" s="1"/>
  <c r="P305" i="1" s="1"/>
  <c r="N306" i="1"/>
  <c r="O306" i="1" s="1"/>
  <c r="L306" i="1"/>
  <c r="M306" i="1" s="1"/>
  <c r="P306" i="1" s="1"/>
  <c r="N307" i="1"/>
  <c r="O307" i="1" s="1"/>
  <c r="L307" i="1"/>
  <c r="M307" i="1" s="1"/>
  <c r="P307" i="1" s="1"/>
  <c r="N308" i="1"/>
  <c r="O308" i="1" s="1"/>
  <c r="L308" i="1"/>
  <c r="M308" i="1" s="1"/>
  <c r="P308" i="1" s="1"/>
  <c r="N309" i="1"/>
  <c r="O309" i="1" s="1"/>
  <c r="L309" i="1"/>
  <c r="M309" i="1" s="1"/>
  <c r="P309" i="1" s="1"/>
  <c r="N310" i="1"/>
  <c r="O310" i="1" s="1"/>
  <c r="L310" i="1"/>
  <c r="M310" i="1" s="1"/>
  <c r="P310" i="1" s="1"/>
  <c r="N311" i="1"/>
  <c r="O311" i="1" s="1"/>
  <c r="L311" i="1"/>
  <c r="M311" i="1" s="1"/>
  <c r="P311" i="1" s="1"/>
  <c r="N312" i="1"/>
  <c r="O312" i="1" s="1"/>
  <c r="L312" i="1"/>
  <c r="M312" i="1" s="1"/>
  <c r="P312" i="1" s="1"/>
  <c r="N313" i="1"/>
  <c r="O313" i="1" s="1"/>
  <c r="L313" i="1"/>
  <c r="M313" i="1" s="1"/>
  <c r="P313" i="1" s="1"/>
  <c r="N314" i="1"/>
  <c r="O314" i="1" s="1"/>
  <c r="L314" i="1"/>
  <c r="M314" i="1" s="1"/>
  <c r="P314" i="1" s="1"/>
  <c r="N315" i="1"/>
  <c r="O315" i="1" s="1"/>
  <c r="L315" i="1"/>
  <c r="M315" i="1" s="1"/>
  <c r="P315" i="1" s="1"/>
  <c r="N316" i="1"/>
  <c r="O316" i="1" s="1"/>
  <c r="L316" i="1"/>
  <c r="M316" i="1" s="1"/>
  <c r="P316" i="1" s="1"/>
  <c r="N317" i="1"/>
  <c r="O317" i="1" s="1"/>
  <c r="L317" i="1"/>
  <c r="M317" i="1" s="1"/>
  <c r="P317" i="1" s="1"/>
  <c r="N318" i="1"/>
  <c r="O318" i="1" s="1"/>
  <c r="L318" i="1"/>
  <c r="M318" i="1" s="1"/>
  <c r="P318" i="1" s="1"/>
  <c r="N319" i="1"/>
  <c r="O319" i="1" s="1"/>
  <c r="L319" i="1"/>
  <c r="M319" i="1" s="1"/>
  <c r="P319" i="1" s="1"/>
  <c r="N320" i="1"/>
  <c r="O320" i="1" s="1"/>
  <c r="L320" i="1"/>
  <c r="M320" i="1" s="1"/>
  <c r="P320" i="1" s="1"/>
  <c r="N321" i="1"/>
  <c r="O321" i="1" s="1"/>
  <c r="L321" i="1"/>
  <c r="M321" i="1" s="1"/>
  <c r="P321" i="1" s="1"/>
  <c r="N322" i="1"/>
  <c r="O322" i="1" s="1"/>
  <c r="L322" i="1"/>
  <c r="M322" i="1" s="1"/>
  <c r="P322" i="1" s="1"/>
  <c r="N323" i="1"/>
  <c r="O323" i="1" s="1"/>
  <c r="L323" i="1"/>
  <c r="M323" i="1" s="1"/>
  <c r="P323" i="1" s="1"/>
  <c r="N324" i="1"/>
  <c r="O324" i="1" s="1"/>
  <c r="L324" i="1"/>
  <c r="M324" i="1" s="1"/>
  <c r="P324" i="1" s="1"/>
  <c r="N325" i="1"/>
  <c r="O325" i="1" s="1"/>
  <c r="L325" i="1"/>
  <c r="M325" i="1" s="1"/>
  <c r="P325" i="1" s="1"/>
  <c r="N326" i="1"/>
  <c r="O326" i="1" s="1"/>
  <c r="L326" i="1"/>
  <c r="M326" i="1" s="1"/>
  <c r="P326" i="1" s="1"/>
  <c r="N327" i="1"/>
  <c r="O327" i="1" s="1"/>
  <c r="L327" i="1"/>
  <c r="M327" i="1" s="1"/>
  <c r="P327" i="1" s="1"/>
  <c r="N328" i="1"/>
  <c r="O328" i="1" s="1"/>
  <c r="L328" i="1"/>
  <c r="M328" i="1" s="1"/>
  <c r="P328" i="1" s="1"/>
  <c r="N329" i="1"/>
  <c r="O329" i="1" s="1"/>
  <c r="L329" i="1"/>
  <c r="M329" i="1" s="1"/>
  <c r="P329" i="1" s="1"/>
  <c r="N330" i="1"/>
  <c r="O330" i="1" s="1"/>
  <c r="L330" i="1"/>
  <c r="M330" i="1" s="1"/>
  <c r="P330" i="1" s="1"/>
  <c r="N331" i="1"/>
  <c r="O331" i="1" s="1"/>
  <c r="L331" i="1"/>
  <c r="M331" i="1" s="1"/>
  <c r="P331" i="1" s="1"/>
  <c r="N332" i="1"/>
  <c r="O332" i="1" s="1"/>
  <c r="L332" i="1"/>
  <c r="M332" i="1" s="1"/>
  <c r="P332" i="1" s="1"/>
  <c r="N333" i="1"/>
  <c r="O333" i="1" s="1"/>
  <c r="L333" i="1"/>
  <c r="M333" i="1" s="1"/>
  <c r="P333" i="1" s="1"/>
  <c r="N334" i="1"/>
  <c r="O334" i="1" s="1"/>
  <c r="L334" i="1"/>
  <c r="M334" i="1" s="1"/>
  <c r="P334" i="1" s="1"/>
  <c r="N335" i="1"/>
  <c r="O335" i="1" s="1"/>
  <c r="L335" i="1"/>
  <c r="M335" i="1" s="1"/>
  <c r="P335" i="1" s="1"/>
  <c r="N336" i="1"/>
  <c r="O336" i="1" s="1"/>
  <c r="L336" i="1"/>
  <c r="M336" i="1" s="1"/>
  <c r="P336" i="1" s="1"/>
  <c r="N337" i="1"/>
  <c r="O337" i="1" s="1"/>
  <c r="L337" i="1"/>
  <c r="M337" i="1" s="1"/>
  <c r="P337" i="1" s="1"/>
  <c r="N338" i="1"/>
  <c r="O338" i="1" s="1"/>
  <c r="L338" i="1"/>
  <c r="M338" i="1" s="1"/>
  <c r="P338" i="1" s="1"/>
  <c r="N339" i="1"/>
  <c r="O339" i="1" s="1"/>
  <c r="L339" i="1"/>
  <c r="M339" i="1" s="1"/>
  <c r="P339" i="1" s="1"/>
  <c r="N340" i="1"/>
  <c r="O340" i="1" s="1"/>
  <c r="L340" i="1"/>
  <c r="M340" i="1" s="1"/>
  <c r="P340" i="1" s="1"/>
  <c r="N341" i="1"/>
  <c r="O341" i="1" s="1"/>
  <c r="L341" i="1"/>
  <c r="M341" i="1" s="1"/>
  <c r="P341" i="1" s="1"/>
  <c r="N342" i="1"/>
  <c r="O342" i="1" s="1"/>
  <c r="L342" i="1"/>
  <c r="M342" i="1" s="1"/>
  <c r="P342" i="1" s="1"/>
  <c r="N343" i="1"/>
  <c r="O343" i="1" s="1"/>
  <c r="L343" i="1"/>
  <c r="M343" i="1" s="1"/>
  <c r="P343" i="1" s="1"/>
  <c r="N344" i="1"/>
  <c r="O344" i="1" s="1"/>
  <c r="L344" i="1"/>
  <c r="M344" i="1" s="1"/>
  <c r="P344" i="1" s="1"/>
  <c r="N345" i="1"/>
  <c r="O345" i="1" s="1"/>
  <c r="L345" i="1"/>
  <c r="M345" i="1" s="1"/>
  <c r="P345" i="1" s="1"/>
  <c r="N346" i="1"/>
  <c r="O346" i="1" s="1"/>
  <c r="L346" i="1"/>
  <c r="M346" i="1" s="1"/>
  <c r="P346" i="1" s="1"/>
  <c r="N347" i="1"/>
  <c r="O347" i="1" s="1"/>
  <c r="L347" i="1"/>
  <c r="M347" i="1" s="1"/>
  <c r="P347" i="1" s="1"/>
  <c r="N348" i="1"/>
  <c r="O348" i="1" s="1"/>
  <c r="L348" i="1"/>
  <c r="M348" i="1" s="1"/>
  <c r="P348" i="1" s="1"/>
  <c r="N349" i="1"/>
  <c r="O349" i="1" s="1"/>
  <c r="L349" i="1"/>
  <c r="M349" i="1" s="1"/>
  <c r="P349" i="1" s="1"/>
  <c r="N350" i="1"/>
  <c r="O350" i="1" s="1"/>
  <c r="L350" i="1"/>
  <c r="M350" i="1" s="1"/>
  <c r="P350" i="1" s="1"/>
  <c r="N351" i="1"/>
  <c r="O351" i="1" s="1"/>
  <c r="L351" i="1"/>
  <c r="M351" i="1" s="1"/>
  <c r="P351" i="1" s="1"/>
  <c r="N352" i="1"/>
  <c r="O352" i="1" s="1"/>
  <c r="L352" i="1"/>
  <c r="M352" i="1" s="1"/>
  <c r="P352" i="1" s="1"/>
  <c r="N353" i="1"/>
  <c r="O353" i="1" s="1"/>
  <c r="L353" i="1"/>
  <c r="M353" i="1" s="1"/>
  <c r="P353" i="1" s="1"/>
  <c r="N354" i="1"/>
  <c r="O354" i="1" s="1"/>
  <c r="L354" i="1"/>
  <c r="M354" i="1" s="1"/>
  <c r="P354" i="1" s="1"/>
  <c r="N355" i="1"/>
  <c r="O355" i="1" s="1"/>
  <c r="L355" i="1"/>
  <c r="M355" i="1" s="1"/>
  <c r="P355" i="1" s="1"/>
  <c r="N356" i="1"/>
  <c r="O356" i="1" s="1"/>
  <c r="L356" i="1"/>
  <c r="M356" i="1" s="1"/>
  <c r="P356" i="1" s="1"/>
  <c r="N357" i="1"/>
  <c r="O357" i="1" s="1"/>
  <c r="L357" i="1"/>
  <c r="M357" i="1" s="1"/>
  <c r="P357" i="1" s="1"/>
  <c r="N358" i="1"/>
  <c r="O358" i="1" s="1"/>
  <c r="L358" i="1"/>
  <c r="M358" i="1" s="1"/>
  <c r="P358" i="1" s="1"/>
  <c r="N359" i="1"/>
  <c r="O359" i="1" s="1"/>
  <c r="L359" i="1"/>
  <c r="M359" i="1" s="1"/>
  <c r="P359" i="1" s="1"/>
  <c r="N360" i="1"/>
  <c r="O360" i="1" s="1"/>
  <c r="L360" i="1"/>
  <c r="M360" i="1" s="1"/>
  <c r="P360" i="1" s="1"/>
  <c r="N361" i="1"/>
  <c r="O361" i="1" s="1"/>
  <c r="L361" i="1"/>
  <c r="M361" i="1" s="1"/>
  <c r="P361" i="1" s="1"/>
  <c r="N362" i="1"/>
  <c r="O362" i="1" s="1"/>
  <c r="L362" i="1"/>
  <c r="M362" i="1" s="1"/>
  <c r="P362" i="1" s="1"/>
  <c r="N363" i="1"/>
  <c r="O363" i="1" s="1"/>
  <c r="L363" i="1"/>
  <c r="M363" i="1" s="1"/>
  <c r="P363" i="1" s="1"/>
  <c r="N364" i="1"/>
  <c r="O364" i="1" s="1"/>
  <c r="L364" i="1"/>
  <c r="M364" i="1" s="1"/>
  <c r="P364" i="1" s="1"/>
  <c r="N365" i="1"/>
  <c r="O365" i="1" s="1"/>
  <c r="L365" i="1"/>
  <c r="M365" i="1" s="1"/>
  <c r="P365" i="1" s="1"/>
  <c r="N366" i="1"/>
  <c r="O366" i="1" s="1"/>
  <c r="L366" i="1"/>
  <c r="M366" i="1" s="1"/>
  <c r="P366" i="1" s="1"/>
  <c r="N367" i="1"/>
  <c r="O367" i="1" s="1"/>
  <c r="L367" i="1"/>
  <c r="M367" i="1" s="1"/>
  <c r="P367" i="1" s="1"/>
  <c r="N368" i="1"/>
  <c r="O368" i="1" s="1"/>
  <c r="L368" i="1"/>
  <c r="M368" i="1" s="1"/>
  <c r="P368" i="1" s="1"/>
  <c r="N369" i="1"/>
  <c r="O369" i="1" s="1"/>
  <c r="L369" i="1"/>
  <c r="M369" i="1" s="1"/>
  <c r="P369" i="1" s="1"/>
  <c r="N370" i="1"/>
  <c r="O370" i="1" s="1"/>
  <c r="L370" i="1"/>
  <c r="M370" i="1" s="1"/>
  <c r="P370" i="1" s="1"/>
  <c r="N371" i="1"/>
  <c r="O371" i="1" s="1"/>
  <c r="L371" i="1"/>
  <c r="M371" i="1" s="1"/>
  <c r="P371" i="1" s="1"/>
  <c r="N372" i="1"/>
  <c r="O372" i="1" s="1"/>
  <c r="L372" i="1"/>
  <c r="M372" i="1" s="1"/>
  <c r="P372" i="1" s="1"/>
  <c r="N373" i="1"/>
  <c r="O373" i="1" s="1"/>
  <c r="L373" i="1"/>
  <c r="M373" i="1" s="1"/>
  <c r="P373" i="1" s="1"/>
  <c r="N374" i="1"/>
  <c r="O374" i="1" s="1"/>
  <c r="L374" i="1"/>
  <c r="M374" i="1" s="1"/>
  <c r="P374" i="1" s="1"/>
  <c r="N375" i="1"/>
  <c r="O375" i="1" s="1"/>
  <c r="L375" i="1"/>
  <c r="M375" i="1" s="1"/>
  <c r="P375" i="1" s="1"/>
  <c r="N376" i="1"/>
  <c r="O376" i="1" s="1"/>
  <c r="L376" i="1"/>
  <c r="M376" i="1" s="1"/>
  <c r="P376" i="1" s="1"/>
  <c r="N377" i="1"/>
  <c r="O377" i="1" s="1"/>
  <c r="L377" i="1"/>
  <c r="M377" i="1" s="1"/>
  <c r="P377" i="1" s="1"/>
  <c r="N378" i="1"/>
  <c r="O378" i="1" s="1"/>
  <c r="L378" i="1"/>
  <c r="M378" i="1" s="1"/>
  <c r="P378" i="1" s="1"/>
  <c r="N379" i="1"/>
  <c r="O379" i="1" s="1"/>
  <c r="L379" i="1"/>
  <c r="M379" i="1" s="1"/>
  <c r="P379" i="1" s="1"/>
  <c r="N380" i="1"/>
  <c r="O380" i="1" s="1"/>
  <c r="L380" i="1"/>
  <c r="M380" i="1" s="1"/>
  <c r="P380" i="1" s="1"/>
  <c r="N381" i="1"/>
  <c r="O381" i="1" s="1"/>
  <c r="L381" i="1"/>
  <c r="M381" i="1" s="1"/>
  <c r="P381" i="1" s="1"/>
  <c r="N382" i="1"/>
  <c r="O382" i="1" s="1"/>
  <c r="L382" i="1"/>
  <c r="M382" i="1" s="1"/>
  <c r="P382" i="1" s="1"/>
  <c r="N383" i="1"/>
  <c r="O383" i="1" s="1"/>
  <c r="L383" i="1"/>
  <c r="M383" i="1" s="1"/>
  <c r="P383" i="1" s="1"/>
  <c r="N384" i="1"/>
  <c r="O384" i="1" s="1"/>
  <c r="L384" i="1"/>
  <c r="M384" i="1" s="1"/>
  <c r="P384" i="1" s="1"/>
  <c r="N385" i="1"/>
  <c r="O385" i="1" s="1"/>
  <c r="L385" i="1"/>
  <c r="M385" i="1" s="1"/>
  <c r="P385" i="1" s="1"/>
  <c r="N386" i="1"/>
  <c r="O386" i="1" s="1"/>
  <c r="L386" i="1"/>
  <c r="M386" i="1" s="1"/>
  <c r="P386" i="1" s="1"/>
  <c r="N387" i="1"/>
  <c r="O387" i="1" s="1"/>
  <c r="L387" i="1"/>
  <c r="M387" i="1" s="1"/>
  <c r="P387" i="1" s="1"/>
  <c r="N388" i="1"/>
  <c r="O388" i="1" s="1"/>
  <c r="L388" i="1"/>
  <c r="M388" i="1" s="1"/>
  <c r="P388" i="1" s="1"/>
  <c r="N389" i="1"/>
  <c r="O389" i="1" s="1"/>
  <c r="L389" i="1"/>
  <c r="M389" i="1" s="1"/>
  <c r="P389" i="1" s="1"/>
  <c r="N390" i="1"/>
  <c r="O390" i="1" s="1"/>
  <c r="L390" i="1"/>
  <c r="M390" i="1" s="1"/>
  <c r="P390" i="1" s="1"/>
  <c r="N391" i="1"/>
  <c r="O391" i="1" s="1"/>
  <c r="L391" i="1"/>
  <c r="M391" i="1" s="1"/>
  <c r="P391" i="1" s="1"/>
  <c r="N392" i="1"/>
  <c r="O392" i="1" s="1"/>
  <c r="L392" i="1"/>
  <c r="M392" i="1" s="1"/>
  <c r="P392" i="1" s="1"/>
  <c r="N393" i="1"/>
  <c r="O393" i="1" s="1"/>
  <c r="L393" i="1"/>
  <c r="M393" i="1" s="1"/>
  <c r="P393" i="1" s="1"/>
  <c r="N394" i="1"/>
  <c r="O394" i="1" s="1"/>
  <c r="L394" i="1"/>
  <c r="M394" i="1" s="1"/>
  <c r="P394" i="1" s="1"/>
  <c r="N395" i="1"/>
  <c r="O395" i="1" s="1"/>
  <c r="L395" i="1"/>
  <c r="M395" i="1" s="1"/>
  <c r="P395" i="1" s="1"/>
  <c r="N396" i="1"/>
  <c r="O396" i="1" s="1"/>
  <c r="L396" i="1"/>
  <c r="M396" i="1" s="1"/>
  <c r="P396" i="1" s="1"/>
  <c r="N397" i="1"/>
  <c r="O397" i="1" s="1"/>
  <c r="L397" i="1"/>
  <c r="M397" i="1" s="1"/>
  <c r="P397" i="1" s="1"/>
  <c r="N398" i="1"/>
  <c r="O398" i="1" s="1"/>
  <c r="L398" i="1"/>
  <c r="M398" i="1" s="1"/>
  <c r="P398" i="1" s="1"/>
  <c r="N399" i="1"/>
  <c r="O399" i="1" s="1"/>
  <c r="L399" i="1"/>
  <c r="M399" i="1" s="1"/>
  <c r="P399" i="1" s="1"/>
  <c r="N400" i="1"/>
  <c r="O400" i="1" s="1"/>
  <c r="L400" i="1"/>
  <c r="M400" i="1" s="1"/>
  <c r="P400" i="1" s="1"/>
  <c r="N401" i="1"/>
  <c r="O401" i="1" s="1"/>
  <c r="L401" i="1"/>
  <c r="M401" i="1" s="1"/>
  <c r="P401" i="1" s="1"/>
  <c r="N402" i="1"/>
  <c r="O402" i="1" s="1"/>
  <c r="L402" i="1"/>
  <c r="M402" i="1" s="1"/>
  <c r="P402" i="1" s="1"/>
  <c r="N403" i="1"/>
  <c r="O403" i="1" s="1"/>
  <c r="L403" i="1"/>
  <c r="M403" i="1" s="1"/>
  <c r="P403" i="1" s="1"/>
  <c r="N404" i="1"/>
  <c r="O404" i="1" s="1"/>
  <c r="L404" i="1"/>
  <c r="M404" i="1" s="1"/>
  <c r="P404" i="1" s="1"/>
  <c r="N405" i="1"/>
  <c r="O405" i="1" s="1"/>
  <c r="L405" i="1"/>
  <c r="M405" i="1" s="1"/>
  <c r="P405" i="1" s="1"/>
  <c r="N406" i="1"/>
  <c r="O406" i="1" s="1"/>
  <c r="L406" i="1"/>
  <c r="M406" i="1" s="1"/>
  <c r="P406" i="1" s="1"/>
  <c r="N407" i="1"/>
  <c r="O407" i="1" s="1"/>
  <c r="L407" i="1"/>
  <c r="M407" i="1" s="1"/>
  <c r="P407" i="1" s="1"/>
  <c r="N408" i="1"/>
  <c r="O408" i="1" s="1"/>
  <c r="L408" i="1"/>
  <c r="M408" i="1" s="1"/>
  <c r="P408" i="1" s="1"/>
  <c r="N409" i="1"/>
  <c r="O409" i="1" s="1"/>
  <c r="L409" i="1"/>
  <c r="M409" i="1" s="1"/>
  <c r="P409" i="1" s="1"/>
  <c r="N410" i="1"/>
  <c r="O410" i="1" s="1"/>
  <c r="L410" i="1"/>
  <c r="M410" i="1" s="1"/>
  <c r="P410" i="1" s="1"/>
  <c r="N411" i="1"/>
  <c r="O411" i="1" s="1"/>
  <c r="L411" i="1"/>
  <c r="M411" i="1" s="1"/>
  <c r="P411" i="1" s="1"/>
  <c r="N412" i="1"/>
  <c r="O412" i="1" s="1"/>
  <c r="L412" i="1"/>
  <c r="M412" i="1" s="1"/>
  <c r="P412" i="1" s="1"/>
  <c r="N413" i="1"/>
  <c r="O413" i="1" s="1"/>
  <c r="L413" i="1"/>
  <c r="M413" i="1" s="1"/>
  <c r="P413" i="1" s="1"/>
  <c r="N414" i="1"/>
  <c r="O414" i="1" s="1"/>
  <c r="L414" i="1"/>
  <c r="M414" i="1" s="1"/>
  <c r="P414" i="1" s="1"/>
  <c r="N415" i="1"/>
  <c r="O415" i="1" s="1"/>
  <c r="L415" i="1"/>
  <c r="M415" i="1" s="1"/>
  <c r="P415" i="1" s="1"/>
  <c r="N416" i="1"/>
  <c r="O416" i="1" s="1"/>
  <c r="L416" i="1"/>
  <c r="M416" i="1" s="1"/>
  <c r="P416" i="1" s="1"/>
  <c r="N417" i="1"/>
  <c r="O417" i="1" s="1"/>
  <c r="L417" i="1"/>
  <c r="M417" i="1" s="1"/>
  <c r="P417" i="1" s="1"/>
  <c r="N418" i="1"/>
  <c r="O418" i="1" s="1"/>
  <c r="L418" i="1"/>
  <c r="M418" i="1" s="1"/>
  <c r="P418" i="1" s="1"/>
  <c r="N419" i="1"/>
  <c r="O419" i="1" s="1"/>
  <c r="L419" i="1"/>
  <c r="M419" i="1" s="1"/>
  <c r="P419" i="1" s="1"/>
  <c r="N420" i="1"/>
  <c r="O420" i="1" s="1"/>
  <c r="L420" i="1"/>
  <c r="M420" i="1" s="1"/>
  <c r="P420" i="1" s="1"/>
  <c r="N421" i="1"/>
  <c r="O421" i="1" s="1"/>
  <c r="L421" i="1"/>
  <c r="M421" i="1" s="1"/>
  <c r="P421" i="1" s="1"/>
  <c r="N422" i="1"/>
  <c r="O422" i="1" s="1"/>
  <c r="L422" i="1"/>
  <c r="M422" i="1" s="1"/>
  <c r="P422" i="1" s="1"/>
  <c r="N423" i="1"/>
  <c r="O423" i="1" s="1"/>
  <c r="L423" i="1"/>
  <c r="M423" i="1" s="1"/>
  <c r="P423" i="1" s="1"/>
  <c r="N424" i="1"/>
  <c r="O424" i="1" s="1"/>
  <c r="L424" i="1"/>
  <c r="M424" i="1" s="1"/>
  <c r="P424" i="1" s="1"/>
  <c r="N425" i="1"/>
  <c r="O425" i="1" s="1"/>
  <c r="L425" i="1"/>
  <c r="M425" i="1" s="1"/>
  <c r="P425" i="1" s="1"/>
  <c r="N426" i="1"/>
  <c r="O426" i="1" s="1"/>
  <c r="L426" i="1"/>
  <c r="M426" i="1" s="1"/>
  <c r="P426" i="1" s="1"/>
  <c r="N427" i="1"/>
  <c r="O427" i="1" s="1"/>
  <c r="L427" i="1"/>
  <c r="M427" i="1" s="1"/>
  <c r="P427" i="1" s="1"/>
  <c r="N428" i="1"/>
  <c r="O428" i="1" s="1"/>
  <c r="L428" i="1"/>
  <c r="M428" i="1" s="1"/>
  <c r="P428" i="1" s="1"/>
  <c r="N429" i="1"/>
  <c r="O429" i="1" s="1"/>
  <c r="L429" i="1"/>
  <c r="M429" i="1" s="1"/>
  <c r="P429" i="1" s="1"/>
  <c r="N430" i="1"/>
  <c r="O430" i="1" s="1"/>
  <c r="L430" i="1"/>
  <c r="M430" i="1" s="1"/>
  <c r="P430" i="1" s="1"/>
  <c r="N431" i="1"/>
  <c r="O431" i="1" s="1"/>
  <c r="L431" i="1"/>
  <c r="M431" i="1" s="1"/>
  <c r="P431" i="1" s="1"/>
  <c r="N432" i="1"/>
  <c r="O432" i="1" s="1"/>
  <c r="L432" i="1"/>
  <c r="M432" i="1" s="1"/>
  <c r="P432" i="1" s="1"/>
  <c r="N433" i="1"/>
  <c r="O433" i="1" s="1"/>
  <c r="L433" i="1"/>
  <c r="M433" i="1" s="1"/>
  <c r="P433" i="1" s="1"/>
  <c r="N434" i="1"/>
  <c r="O434" i="1" s="1"/>
  <c r="L434" i="1"/>
  <c r="M434" i="1" s="1"/>
  <c r="P434" i="1" s="1"/>
  <c r="N435" i="1"/>
  <c r="O435" i="1" s="1"/>
  <c r="L435" i="1"/>
  <c r="M435" i="1" s="1"/>
  <c r="P435" i="1" s="1"/>
  <c r="N436" i="1"/>
  <c r="O436" i="1" s="1"/>
  <c r="L436" i="1"/>
  <c r="M436" i="1" s="1"/>
  <c r="P436" i="1" s="1"/>
  <c r="N437" i="1"/>
  <c r="O437" i="1" s="1"/>
  <c r="L437" i="1"/>
  <c r="M437" i="1" s="1"/>
  <c r="P437" i="1" s="1"/>
  <c r="N438" i="1"/>
  <c r="O438" i="1" s="1"/>
  <c r="L438" i="1"/>
  <c r="M438" i="1" s="1"/>
  <c r="P438" i="1" s="1"/>
  <c r="N439" i="1"/>
  <c r="O439" i="1" s="1"/>
  <c r="L439" i="1"/>
  <c r="M439" i="1" s="1"/>
  <c r="P439" i="1" s="1"/>
  <c r="N440" i="1"/>
  <c r="O440" i="1" s="1"/>
  <c r="L440" i="1"/>
  <c r="M440" i="1" s="1"/>
  <c r="P440" i="1" s="1"/>
  <c r="N441" i="1"/>
  <c r="O441" i="1" s="1"/>
  <c r="L441" i="1"/>
  <c r="M441" i="1" s="1"/>
  <c r="P441" i="1" s="1"/>
  <c r="N442" i="1"/>
  <c r="O442" i="1" s="1"/>
  <c r="L442" i="1"/>
  <c r="M442" i="1" s="1"/>
  <c r="P442" i="1" s="1"/>
  <c r="N443" i="1"/>
  <c r="O443" i="1" s="1"/>
  <c r="L443" i="1"/>
  <c r="M443" i="1" s="1"/>
  <c r="P443" i="1" s="1"/>
  <c r="N444" i="1"/>
  <c r="O444" i="1" s="1"/>
  <c r="L444" i="1"/>
  <c r="M444" i="1" s="1"/>
  <c r="P444" i="1" s="1"/>
  <c r="N445" i="1"/>
  <c r="O445" i="1" s="1"/>
  <c r="L445" i="1"/>
  <c r="M445" i="1" s="1"/>
  <c r="P445" i="1" s="1"/>
  <c r="N446" i="1"/>
  <c r="O446" i="1" s="1"/>
  <c r="L446" i="1"/>
  <c r="M446" i="1" s="1"/>
  <c r="P446" i="1" s="1"/>
  <c r="N447" i="1"/>
  <c r="O447" i="1" s="1"/>
  <c r="L447" i="1"/>
  <c r="M447" i="1" s="1"/>
  <c r="P447" i="1" s="1"/>
  <c r="N448" i="1"/>
  <c r="O448" i="1" s="1"/>
  <c r="L448" i="1"/>
  <c r="M448" i="1" s="1"/>
  <c r="P448" i="1" s="1"/>
  <c r="N449" i="1"/>
  <c r="O449" i="1" s="1"/>
  <c r="L449" i="1"/>
  <c r="M449" i="1" s="1"/>
  <c r="P449" i="1" s="1"/>
  <c r="N450" i="1"/>
  <c r="O450" i="1" s="1"/>
  <c r="L450" i="1"/>
  <c r="M450" i="1" s="1"/>
  <c r="P450" i="1" s="1"/>
  <c r="N451" i="1"/>
  <c r="O451" i="1" s="1"/>
  <c r="L451" i="1"/>
  <c r="M451" i="1" s="1"/>
  <c r="P451" i="1" s="1"/>
  <c r="N452" i="1"/>
  <c r="O452" i="1" s="1"/>
  <c r="L452" i="1"/>
  <c r="M452" i="1" s="1"/>
  <c r="P452" i="1" s="1"/>
  <c r="N453" i="1"/>
  <c r="O453" i="1" s="1"/>
  <c r="L453" i="1"/>
  <c r="M453" i="1" s="1"/>
  <c r="P453" i="1" s="1"/>
  <c r="N454" i="1"/>
  <c r="O454" i="1" s="1"/>
  <c r="L454" i="1"/>
  <c r="M454" i="1" s="1"/>
  <c r="P454" i="1" s="1"/>
  <c r="N455" i="1"/>
  <c r="O455" i="1" s="1"/>
  <c r="L455" i="1"/>
  <c r="M455" i="1" s="1"/>
  <c r="P455" i="1" s="1"/>
  <c r="N456" i="1"/>
  <c r="O456" i="1" s="1"/>
  <c r="L456" i="1"/>
  <c r="M456" i="1" s="1"/>
  <c r="P456" i="1" s="1"/>
  <c r="N457" i="1"/>
  <c r="O457" i="1" s="1"/>
  <c r="L457" i="1"/>
  <c r="M457" i="1" s="1"/>
  <c r="P457" i="1" s="1"/>
  <c r="N458" i="1"/>
  <c r="O458" i="1" s="1"/>
  <c r="L458" i="1"/>
  <c r="M458" i="1" s="1"/>
  <c r="P458" i="1" s="1"/>
  <c r="N459" i="1"/>
  <c r="O459" i="1" s="1"/>
  <c r="L459" i="1"/>
  <c r="M459" i="1" s="1"/>
  <c r="P459" i="1" s="1"/>
  <c r="N460" i="1"/>
  <c r="O460" i="1" s="1"/>
  <c r="L460" i="1"/>
  <c r="M460" i="1" s="1"/>
  <c r="P460" i="1" s="1"/>
  <c r="N461" i="1"/>
  <c r="O461" i="1" s="1"/>
  <c r="L461" i="1"/>
  <c r="M461" i="1" s="1"/>
  <c r="P461" i="1" s="1"/>
  <c r="N462" i="1"/>
  <c r="O462" i="1" s="1"/>
  <c r="L462" i="1"/>
  <c r="M462" i="1" s="1"/>
  <c r="P462" i="1" s="1"/>
  <c r="N463" i="1"/>
  <c r="O463" i="1" s="1"/>
  <c r="L463" i="1"/>
  <c r="M463" i="1" s="1"/>
  <c r="P463" i="1" s="1"/>
  <c r="N464" i="1"/>
  <c r="O464" i="1" s="1"/>
  <c r="L464" i="1"/>
  <c r="M464" i="1" s="1"/>
  <c r="P464" i="1" s="1"/>
  <c r="N465" i="1"/>
  <c r="O465" i="1" s="1"/>
  <c r="L465" i="1"/>
  <c r="M465" i="1" s="1"/>
  <c r="P465" i="1" s="1"/>
  <c r="N466" i="1"/>
  <c r="O466" i="1" s="1"/>
  <c r="L466" i="1"/>
  <c r="M466" i="1" s="1"/>
  <c r="P466" i="1" s="1"/>
  <c r="N467" i="1"/>
  <c r="O467" i="1" s="1"/>
  <c r="L467" i="1"/>
  <c r="M467" i="1" s="1"/>
  <c r="P467" i="1" s="1"/>
  <c r="N468" i="1"/>
  <c r="O468" i="1" s="1"/>
  <c r="L468" i="1"/>
  <c r="M468" i="1" s="1"/>
  <c r="P468" i="1" s="1"/>
  <c r="N469" i="1"/>
  <c r="O469" i="1" s="1"/>
  <c r="L469" i="1"/>
  <c r="M469" i="1" s="1"/>
  <c r="P469" i="1" s="1"/>
  <c r="N470" i="1"/>
  <c r="O470" i="1" s="1"/>
  <c r="L470" i="1"/>
  <c r="M470" i="1" s="1"/>
  <c r="P470" i="1" s="1"/>
  <c r="N471" i="1"/>
  <c r="O471" i="1" s="1"/>
  <c r="L471" i="1"/>
  <c r="M471" i="1" s="1"/>
  <c r="P471" i="1" s="1"/>
  <c r="N472" i="1"/>
  <c r="O472" i="1" s="1"/>
  <c r="L472" i="1"/>
  <c r="M472" i="1" s="1"/>
  <c r="P472" i="1" s="1"/>
  <c r="N473" i="1"/>
  <c r="O473" i="1" s="1"/>
  <c r="L473" i="1"/>
  <c r="M473" i="1" s="1"/>
  <c r="P473" i="1" s="1"/>
  <c r="N474" i="1"/>
  <c r="O474" i="1" s="1"/>
  <c r="L474" i="1"/>
  <c r="M474" i="1" s="1"/>
  <c r="P474" i="1" s="1"/>
  <c r="N475" i="1"/>
  <c r="O475" i="1" s="1"/>
  <c r="L475" i="1"/>
  <c r="M475" i="1" s="1"/>
  <c r="P475" i="1" s="1"/>
  <c r="N476" i="1"/>
  <c r="O476" i="1" s="1"/>
  <c r="L476" i="1"/>
  <c r="M476" i="1" s="1"/>
  <c r="P476" i="1" s="1"/>
  <c r="N477" i="1"/>
  <c r="O477" i="1" s="1"/>
  <c r="L477" i="1"/>
  <c r="M477" i="1" s="1"/>
  <c r="P477" i="1" s="1"/>
  <c r="N478" i="1"/>
  <c r="O478" i="1" s="1"/>
  <c r="L478" i="1"/>
  <c r="M478" i="1" s="1"/>
  <c r="P478" i="1" s="1"/>
  <c r="N479" i="1"/>
  <c r="O479" i="1" s="1"/>
  <c r="L479" i="1"/>
  <c r="M479" i="1" s="1"/>
  <c r="P479" i="1" s="1"/>
  <c r="N480" i="1"/>
  <c r="O480" i="1" s="1"/>
  <c r="L480" i="1"/>
  <c r="M480" i="1" s="1"/>
  <c r="P480" i="1" s="1"/>
  <c r="N481" i="1"/>
  <c r="O481" i="1" s="1"/>
  <c r="L481" i="1"/>
  <c r="M481" i="1" s="1"/>
  <c r="P481" i="1" s="1"/>
  <c r="N482" i="1"/>
  <c r="O482" i="1" s="1"/>
  <c r="L482" i="1"/>
  <c r="M482" i="1" s="1"/>
  <c r="P482" i="1" s="1"/>
  <c r="N483" i="1"/>
  <c r="O483" i="1" s="1"/>
  <c r="L483" i="1"/>
  <c r="M483" i="1" s="1"/>
  <c r="P483" i="1" s="1"/>
  <c r="N484" i="1"/>
  <c r="O484" i="1" s="1"/>
  <c r="L484" i="1"/>
  <c r="M484" i="1" s="1"/>
  <c r="P484" i="1" s="1"/>
  <c r="N485" i="1"/>
  <c r="O485" i="1" s="1"/>
  <c r="L485" i="1"/>
  <c r="M485" i="1" s="1"/>
  <c r="P485" i="1" s="1"/>
  <c r="N486" i="1"/>
  <c r="O486" i="1" s="1"/>
  <c r="L486" i="1"/>
  <c r="M486" i="1" s="1"/>
  <c r="P486" i="1" s="1"/>
  <c r="N487" i="1"/>
  <c r="O487" i="1" s="1"/>
  <c r="L487" i="1"/>
  <c r="M487" i="1" s="1"/>
  <c r="P487" i="1" s="1"/>
  <c r="N488" i="1"/>
  <c r="O488" i="1" s="1"/>
  <c r="L488" i="1"/>
  <c r="M488" i="1" s="1"/>
  <c r="P488" i="1" s="1"/>
  <c r="N489" i="1"/>
  <c r="O489" i="1" s="1"/>
  <c r="L489" i="1"/>
  <c r="M489" i="1" s="1"/>
  <c r="P489" i="1" s="1"/>
  <c r="N490" i="1"/>
  <c r="O490" i="1" s="1"/>
  <c r="L490" i="1"/>
  <c r="M490" i="1" s="1"/>
  <c r="P490" i="1" s="1"/>
  <c r="N491" i="1"/>
  <c r="O491" i="1" s="1"/>
  <c r="L491" i="1"/>
  <c r="M491" i="1" s="1"/>
  <c r="P491" i="1" s="1"/>
  <c r="N492" i="1"/>
  <c r="O492" i="1" s="1"/>
  <c r="L492" i="1"/>
  <c r="M492" i="1" s="1"/>
  <c r="P492" i="1" s="1"/>
  <c r="N493" i="1"/>
  <c r="O493" i="1" s="1"/>
  <c r="L493" i="1"/>
  <c r="M493" i="1" s="1"/>
  <c r="P493" i="1" s="1"/>
  <c r="N494" i="1"/>
  <c r="O494" i="1" s="1"/>
  <c r="L494" i="1"/>
  <c r="M494" i="1" s="1"/>
  <c r="P494" i="1" s="1"/>
  <c r="N495" i="1"/>
  <c r="O495" i="1" s="1"/>
  <c r="L495" i="1"/>
  <c r="M495" i="1" s="1"/>
  <c r="P495" i="1" s="1"/>
  <c r="N496" i="1"/>
  <c r="O496" i="1" s="1"/>
  <c r="L496" i="1"/>
  <c r="M496" i="1" s="1"/>
  <c r="P496" i="1" s="1"/>
  <c r="N497" i="1"/>
  <c r="O497" i="1" s="1"/>
  <c r="L497" i="1"/>
  <c r="M497" i="1" s="1"/>
  <c r="P497" i="1" s="1"/>
  <c r="N498" i="1"/>
  <c r="O498" i="1" s="1"/>
  <c r="L498" i="1"/>
  <c r="M498" i="1" s="1"/>
  <c r="P498" i="1" s="1"/>
  <c r="N499" i="1"/>
  <c r="O499" i="1" s="1"/>
  <c r="L499" i="1"/>
  <c r="M499" i="1" s="1"/>
  <c r="P499" i="1" s="1"/>
  <c r="N500" i="1"/>
  <c r="O500" i="1" s="1"/>
  <c r="L500" i="1"/>
  <c r="M500" i="1" s="1"/>
  <c r="P500" i="1" s="1"/>
  <c r="B10" i="3" l="1"/>
  <c r="B5" i="3"/>
</calcChain>
</file>

<file path=xl/sharedStrings.xml><?xml version="1.0" encoding="utf-8"?>
<sst xmlns="http://schemas.openxmlformats.org/spreadsheetml/2006/main" count="2024" uniqueCount="520">
  <si>
    <t>Rank</t>
  </si>
  <si>
    <t>Name</t>
  </si>
  <si>
    <t>Platform</t>
  </si>
  <si>
    <t>Year</t>
  </si>
  <si>
    <t>Genre</t>
  </si>
  <si>
    <t>Publisher</t>
  </si>
  <si>
    <t>Q1</t>
  </si>
  <si>
    <t>Q2</t>
  </si>
  <si>
    <t>Q3</t>
  </si>
  <si>
    <t>Q4</t>
  </si>
  <si>
    <t>Total Sales</t>
  </si>
  <si>
    <t>Discount %</t>
  </si>
  <si>
    <t>Total Discount</t>
  </si>
  <si>
    <t>Admin Cost %</t>
  </si>
  <si>
    <t>Admin Cost</t>
  </si>
  <si>
    <t>Net Total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</si>
  <si>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</si>
  <si>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</si>
  <si>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</si>
  <si>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</si>
  <si>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</si>
  <si>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</si>
  <si>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</si>
  <si>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</si>
  <si>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</si>
  <si>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</si>
  <si>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</si>
  <si>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</si>
  <si>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</si>
  <si>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</si>
  <si>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</si>
  <si>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</si>
  <si>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</si>
  <si>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</si>
  <si>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</si>
  <si>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</si>
  <si>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</si>
  <si>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</si>
  <si>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</si>
  <si>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</si>
  <si>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</si>
  <si>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</si>
  <si>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</si>
  <si>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</si>
  <si>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</si>
  <si>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</si>
  <si>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</si>
  <si>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</si>
  <si>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</si>
  <si>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</si>
  <si>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</si>
  <si>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</si>
  <si>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</si>
  <si>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</si>
  <si>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</si>
  <si>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</si>
  <si>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</si>
  <si>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</si>
  <si>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</si>
  <si>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</si>
  <si>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</si>
  <si>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</si>
  <si>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</si>
  <si>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</si>
  <si>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</si>
  <si>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</si>
  <si>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</si>
  <si>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</si>
  <si>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</si>
  <si>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</si>
  <si>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</si>
  <si>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</si>
  <si>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</si>
  <si>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</si>
  <si>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</si>
  <si>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</si>
  <si>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</si>
  <si>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</si>
  <si>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</si>
  <si>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</si>
  <si>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</si>
  <si>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</si>
  <si>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</si>
  <si>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</si>
  <si>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</si>
  <si>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</si>
  <si>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</si>
  <si>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</si>
  <si>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</si>
  <si>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</si>
  <si>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</si>
  <si>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</si>
  <si>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</si>
  <si>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</si>
  <si>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</si>
  <si>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</si>
  <si>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</si>
  <si>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</si>
  <si>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</si>
  <si>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</si>
  <si>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</si>
  <si>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</si>
  <si>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</si>
  <si>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</si>
  <si>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</si>
  <si>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</si>
  <si>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</si>
  <si>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</si>
  <si>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</si>
  <si>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</si>
  <si>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</si>
  <si>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</si>
  <si>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</si>
  <si>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</si>
  <si>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</si>
  <si>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</si>
  <si>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</si>
  <si>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</si>
  <si>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</si>
  <si>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</si>
  <si>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</si>
  <si>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</si>
  <si>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</si>
  <si>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</si>
  <si>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</si>
  <si>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</si>
  <si>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</si>
  <si>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</si>
  <si>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</si>
  <si>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</si>
  <si>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</si>
  <si>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</si>
  <si>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</si>
  <si>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</si>
  <si>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</si>
  <si>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</si>
  <si>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</si>
  <si>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</si>
  <si>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</si>
  <si>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</si>
  <si>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</si>
  <si>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</si>
  <si>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</si>
  <si>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</si>
  <si>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</si>
  <si>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</si>
  <si>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</si>
  <si>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</si>
  <si>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</si>
  <si>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</si>
  <si>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</si>
  <si>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</si>
  <si>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</si>
  <si>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</si>
  <si>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</si>
  <si>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</si>
  <si>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</si>
  <si>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</si>
  <si>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</si>
  <si>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</si>
  <si>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</si>
  <si>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</si>
  <si>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</si>
  <si>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</si>
  <si>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</si>
  <si>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</si>
  <si>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</si>
  <si>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</si>
  <si>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</si>
  <si>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</si>
  <si>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</si>
  <si>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</si>
  <si>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</si>
  <si>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</si>
  <si>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</si>
  <si>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</si>
  <si>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</si>
  <si>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</si>
  <si>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</si>
  <si>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</si>
  <si>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</si>
  <si>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</si>
  <si>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</si>
  <si>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</si>
  <si>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</si>
  <si>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</si>
  <si>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</si>
  <si>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</si>
  <si>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</si>
  <si>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</si>
  <si>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</si>
  <si>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</si>
  <si>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</si>
  <si>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</si>
  <si>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</si>
  <si>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</si>
  <si>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</si>
  <si>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</si>
  <si>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</si>
  <si>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</si>
  <si>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</si>
  <si>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</si>
  <si>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</si>
  <si>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</si>
  <si>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</si>
  <si>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</si>
  <si>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</si>
  <si>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</si>
  <si>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</si>
  <si>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</si>
  <si>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</si>
  <si>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</si>
  <si>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</si>
  <si>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</si>
  <si>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</si>
  <si>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</si>
  <si>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</si>
  <si>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</si>
  <si>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</si>
  <si>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</si>
  <si>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</si>
  <si>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</si>
  <si>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</si>
  <si>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</si>
  <si>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</si>
  <si>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</si>
  <si>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</si>
  <si>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</si>
  <si>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</si>
  <si>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</si>
  <si>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</si>
  <si>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</si>
  <si>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</si>
  <si>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</si>
  <si>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</si>
  <si>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</si>
  <si>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</si>
  <si>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</si>
  <si>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</si>
  <si>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</si>
  <si>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</si>
  <si>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</si>
  <si>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</si>
  <si>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</si>
  <si>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</si>
  <si>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</si>
  <si>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</si>
  <si>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</si>
  <si>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</si>
  <si>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</si>
  <si>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</si>
  <si>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</si>
  <si>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</si>
  <si>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</si>
  <si>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</si>
  <si>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</si>
  <si>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</si>
  <si>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</si>
  <si>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</si>
  <si>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</si>
  <si>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</si>
  <si>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</si>
  <si>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</si>
  <si>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</si>
  <si>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</si>
  <si>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</si>
  <si>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</si>
  <si>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</si>
  <si>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</si>
  <si>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</si>
  <si>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</si>
  <si>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</si>
  <si>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</si>
  <si>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</si>
  <si>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</si>
  <si>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</si>
  <si>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</si>
  <si>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</si>
  <si>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</si>
  <si>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</si>
  <si>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</si>
  <si>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</si>
  <si>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</si>
  <si>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</si>
  <si>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</si>
  <si>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</si>
  <si>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</si>
  <si>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</si>
  <si>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</si>
  <si>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</si>
  <si>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</si>
  <si>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</si>
  <si>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</si>
  <si>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</si>
  <si>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</si>
  <si>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</si>
  <si>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</si>
  <si>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</si>
  <si>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</si>
  <si>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</si>
  <si>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</si>
  <si>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</si>
  <si>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</si>
  <si>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</si>
  <si>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</si>
  <si>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</si>
  <si>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</si>
  <si>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</si>
  <si>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</si>
  <si>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</si>
  <si>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</si>
  <si>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</si>
  <si>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</si>
  <si>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</si>
  <si>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</si>
  <si>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</si>
  <si>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</si>
  <si>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</si>
  <si>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</si>
  <si>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</si>
  <si>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</si>
  <si>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</si>
  <si>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</si>
  <si>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</si>
  <si>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</si>
  <si>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</si>
  <si>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</si>
  <si>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</si>
  <si>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</si>
  <si>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</si>
  <si>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</si>
  <si>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</si>
  <si>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</si>
  <si>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</si>
  <si>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</si>
  <si>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</si>
  <si>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</si>
  <si>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</si>
  <si>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</si>
  <si>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</si>
  <si>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</si>
  <si>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</si>
  <si>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</si>
  <si>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</si>
  <si>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</si>
  <si>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</si>
  <si>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</si>
  <si>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</si>
  <si>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</si>
  <si>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</si>
  <si>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</si>
  <si>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</si>
  <si>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</si>
  <si>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</si>
  <si>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</si>
  <si>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</si>
  <si>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</si>
  <si>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</si>
  <si>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</si>
  <si>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</si>
  <si>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</si>
  <si>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</si>
  <si>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</si>
  <si>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</si>
  <si>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</si>
  <si>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</si>
  <si>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</si>
  <si>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</si>
  <si>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</si>
  <si>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</si>
  <si>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</si>
  <si>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</si>
  <si>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</si>
  <si>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</si>
  <si>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</si>
  <si>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</si>
  <si>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</si>
  <si>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</si>
  <si>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</si>
  <si>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</si>
  <si>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</si>
  <si>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</si>
  <si>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</si>
  <si>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</si>
  <si>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</si>
  <si>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</si>
  <si>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</si>
  <si>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</si>
  <si>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</si>
  <si>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</si>
  <si>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</si>
  <si>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</si>
  <si>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</si>
  <si>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</si>
  <si>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</si>
  <si>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</si>
  <si>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</si>
  <si>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</si>
  <si>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</si>
  <si>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</si>
  <si>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</si>
  <si>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</si>
  <si>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</si>
  <si>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</si>
  <si>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</si>
  <si>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</si>
  <si>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</si>
  <si>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</si>
  <si>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</si>
  <si>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</si>
  <si>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</si>
  <si>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</si>
  <si>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</si>
  <si>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</si>
  <si>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</si>
  <si>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</si>
  <si>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</si>
  <si>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</si>
  <si>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</si>
  <si>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</si>
  <si>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</si>
  <si>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</si>
  <si>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</si>
  <si>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</si>
  <si>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</si>
  <si>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</si>
  <si>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</si>
  <si>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</si>
  <si>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</si>
  <si>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</si>
  <si>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</si>
  <si>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</si>
  <si>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</si>
  <si>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</si>
  <si>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</si>
  <si>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</si>
  <si>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</si>
  <si>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</si>
  <si>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</si>
  <si>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</si>
  <si>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</si>
  <si>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</si>
  <si>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</si>
  <si>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</si>
  <si>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</si>
  <si>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</si>
  <si>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</si>
  <si>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</si>
  <si>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</si>
  <si>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</si>
  <si>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</si>
  <si>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</si>
  <si>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</si>
  <si>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</si>
  <si>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</si>
  <si>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</si>
  <si>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</si>
  <si>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</si>
  <si>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</si>
  <si>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</si>
  <si>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</si>
  <si>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</si>
  <si>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</si>
  <si>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</si>
  <si>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</si>
  <si>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</si>
  <si>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</si>
  <si>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</si>
  <si>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</si>
  <si>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</si>
  <si>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</si>
  <si>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</si>
  <si>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</si>
  <si>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</si>
  <si>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</si>
  <si>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</si>
  <si>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</si>
  <si>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</si>
  <si>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</si>
  <si>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</si>
  <si>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</si>
  <si>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</si>
  <si>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</si>
  <si>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</si>
  <si>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</si>
  <si>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</si>
  <si>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</si>
  <si>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</si>
  <si>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</si>
  <si>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</si>
  <si>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</si>
  <si>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</si>
  <si>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</si>
  <si>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</si>
  <si>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</si>
  <si>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</si>
  <si>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</si>
  <si>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</si>
  <si>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</si>
  <si>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</si>
  <si>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</si>
  <si>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</si>
  <si>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</si>
  <si>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</si>
  <si>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</si>
  <si>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</si>
  <si>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</si>
  <si>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</si>
  <si>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</si>
  <si>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</si>
  <si>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</si>
  <si>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Max Sales</t>
  </si>
  <si>
    <t>Admin Rate</t>
  </si>
  <si>
    <t>Analysis for Shooter</t>
  </si>
  <si>
    <t>No. of Sales</t>
  </si>
  <si>
    <t>Q1 Total</t>
  </si>
  <si>
    <t>Q2 Total</t>
  </si>
  <si>
    <t>Q3 Total</t>
  </si>
  <si>
    <t>Q4 Total</t>
  </si>
  <si>
    <t>Number of Net Totals &gt; £20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</si>
</sst>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"/>
  <sheetViews>
    <sheetView workbookViewId="0">
      <selection activeCell="S2" sqref="S2"/>
    </sheetView>
  </sheetViews>
  <sheetFormatPr defaultRowHeight="15"/>
  <cols>
    <col min="2" max="2" width="18.28515625" customWidth="1"/>
    <col min="8" max="8" width="11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2006</v>
      </c>
      <c r="E2" t="s">
        <v>18</v>
      </c>
      <c r="F2" t="s">
        <v>19</v>
      </c>
      <c r="G2">
        <v>29.02</v>
      </c>
      <c r="H2">
        <v>3.77</v>
      </c>
      <c r="I2">
        <v>8.4600000000000009</v>
      </c>
      <c r="J2">
        <v>82.74</v>
      </c>
      <c r="K2">
        <f>SUM(G2:J2)</f>
        <v>123.99</v>
      </c>
      <c r="L2">
        <f>IF(K2&gt;20,10%,5%)</f>
        <v>0.1</v>
      </c>
      <c r="M2">
        <f>K2*L2</f>
        <v>12.399000000000001</v>
      </c>
      <c r="N2">
        <f>LOOKUP(K2,Lookup!$A$2:$A$5,Lookup!$B$2:$B$5)</f>
        <v>0.02</v>
      </c>
      <c r="O2">
        <f>K2*N2</f>
        <v>2.4798</v>
      </c>
      <c r="P2">
        <f>K2-M2+O2</f>
        <v>114.07079999999999</v>
      </c>
    </row>
    <row r="3" spans="1:16">
      <c r="A3">
        <v>2</v>
      </c>
      <c r="B3" t="s">
        <v>20</v>
      </c>
      <c r="C3" t="s">
        <v>21</v>
      </c>
      <c r="D3">
        <v>1985</v>
      </c>
      <c r="E3" t="s">
        <v>2</v>
      </c>
      <c r="F3" t="s">
        <v>19</v>
      </c>
      <c r="G3">
        <v>3.58</v>
      </c>
      <c r="H3">
        <v>6.81</v>
      </c>
      <c r="I3">
        <v>0.77</v>
      </c>
      <c r="J3">
        <v>40.24</v>
      </c>
      <c r="K3">
        <f>SUM(G3:J3)</f>
        <v>51.400000000000006</v>
      </c>
      <c r="L3">
        <f>IF(K3&gt;20,10%,5%)</f>
        <v>0.1</v>
      </c>
      <c r="M3">
        <f>K3*L3</f>
        <v>5.1400000000000006</v>
      </c>
      <c r="N3">
        <f>LOOKUP(K3,Lookup!$A$2:$A$5,Lookup!$B$2:$B$5)</f>
        <v>0.05</v>
      </c>
      <c r="O3">
        <f>K3*N3</f>
        <v>2.5700000000000003</v>
      </c>
      <c r="P3">
        <f>K3-M3+O3</f>
        <v>48.830000000000005</v>
      </c>
    </row>
    <row r="4" spans="1:16">
      <c r="A4">
        <v>3</v>
      </c>
      <c r="B4" t="s">
        <v>22</v>
      </c>
      <c r="C4" t="s">
        <v>17</v>
      </c>
      <c r="D4">
        <v>2008</v>
      </c>
      <c r="E4" t="s">
        <v>23</v>
      </c>
      <c r="F4" t="s">
        <v>19</v>
      </c>
      <c r="G4">
        <v>12.88</v>
      </c>
      <c r="H4">
        <v>3.79</v>
      </c>
      <c r="I4">
        <v>3.31</v>
      </c>
      <c r="J4">
        <v>35.82</v>
      </c>
      <c r="K4">
        <f>SUM(G4:J4)</f>
        <v>55.8</v>
      </c>
      <c r="L4">
        <f>IF(K4&gt;20,10%,5%)</f>
        <v>0.1</v>
      </c>
      <c r="M4">
        <f>K4*L4</f>
        <v>5.58</v>
      </c>
      <c r="N4">
        <f>LOOKUP(K4,Lookup!$A$2:$A$5,Lookup!$B$2:$B$5)</f>
        <v>0.05</v>
      </c>
      <c r="O4">
        <f>K4*N4</f>
        <v>2.79</v>
      </c>
      <c r="P4">
        <f>K4-M4+O4</f>
        <v>53.01</v>
      </c>
    </row>
    <row r="5" spans="1:16">
      <c r="A5">
        <v>4</v>
      </c>
      <c r="B5" t="s">
        <v>24</v>
      </c>
      <c r="C5" t="s">
        <v>17</v>
      </c>
      <c r="D5">
        <v>2009</v>
      </c>
      <c r="E5" t="s">
        <v>18</v>
      </c>
      <c r="F5" t="s">
        <v>19</v>
      </c>
      <c r="G5">
        <v>11.01</v>
      </c>
      <c r="H5">
        <v>3.28</v>
      </c>
      <c r="I5">
        <v>2.96</v>
      </c>
      <c r="J5">
        <v>33</v>
      </c>
      <c r="K5">
        <f>SUM(G5:J5)</f>
        <v>50.25</v>
      </c>
      <c r="L5">
        <f>IF(K5&gt;20,10%,5%)</f>
        <v>0.1</v>
      </c>
      <c r="M5">
        <f>K5*L5</f>
        <v>5.0250000000000004</v>
      </c>
      <c r="N5">
        <f>LOOKUP(K5,Lookup!$A$2:$A$5,Lookup!$B$2:$B$5)</f>
        <v>0.05</v>
      </c>
      <c r="O5">
        <f>K5*N5</f>
        <v>2.5125000000000002</v>
      </c>
      <c r="P5">
        <f>K5-M5+O5</f>
        <v>47.737500000000004</v>
      </c>
    </row>
    <row r="6" spans="1:16">
      <c r="A6">
        <v>5</v>
      </c>
      <c r="B6" t="s">
        <v>25</v>
      </c>
      <c r="C6" t="s">
        <v>26</v>
      </c>
      <c r="D6">
        <v>1996</v>
      </c>
      <c r="E6" t="s">
        <v>27</v>
      </c>
      <c r="F6" t="s">
        <v>19</v>
      </c>
      <c r="G6">
        <v>8.89</v>
      </c>
      <c r="H6">
        <v>10.220000000000001</v>
      </c>
      <c r="I6">
        <v>1</v>
      </c>
      <c r="J6">
        <v>31.37</v>
      </c>
      <c r="K6">
        <f>SUM(G6:J6)</f>
        <v>51.480000000000004</v>
      </c>
      <c r="L6">
        <f>IF(K6&gt;20,10%,5%)</f>
        <v>0.1</v>
      </c>
      <c r="M6">
        <f>K6*L6</f>
        <v>5.1480000000000006</v>
      </c>
      <c r="N6">
        <f>LOOKUP(K6,Lookup!$A$2:$A$5,Lookup!$B$2:$B$5)</f>
        <v>0.05</v>
      </c>
      <c r="O6">
        <f>K6*N6</f>
        <v>2.5740000000000003</v>
      </c>
      <c r="P6">
        <f>K6-M6+O6</f>
        <v>48.905999999999999</v>
      </c>
    </row>
    <row r="7" spans="1:16">
      <c r="A7">
        <v>6</v>
      </c>
      <c r="B7" t="s">
        <v>28</v>
      </c>
      <c r="C7" t="s">
        <v>26</v>
      </c>
      <c r="D7">
        <v>1989</v>
      </c>
      <c r="E7" t="s">
        <v>29</v>
      </c>
      <c r="F7" t="s">
        <v>19</v>
      </c>
      <c r="G7">
        <v>2.2599999999999998</v>
      </c>
      <c r="H7">
        <v>4.22</v>
      </c>
      <c r="I7">
        <v>0.57999999999999996</v>
      </c>
      <c r="J7">
        <v>30.26</v>
      </c>
      <c r="K7">
        <f>SUM(G7:J7)</f>
        <v>37.32</v>
      </c>
      <c r="L7">
        <f>IF(K7&gt;20,10%,5%)</f>
        <v>0.1</v>
      </c>
      <c r="M7">
        <f>K7*L7</f>
        <v>3.7320000000000002</v>
      </c>
      <c r="N7">
        <f>LOOKUP(K7,Lookup!$A$2:$A$5,Lookup!$B$2:$B$5)</f>
        <v>0.08</v>
      </c>
      <c r="O7">
        <f>K7*N7</f>
        <v>2.9856000000000003</v>
      </c>
      <c r="P7">
        <f>K7-M7+O7</f>
        <v>36.573599999999999</v>
      </c>
    </row>
    <row r="8" spans="1:16">
      <c r="A8">
        <v>7</v>
      </c>
      <c r="B8" t="s">
        <v>30</v>
      </c>
      <c r="C8" t="s">
        <v>31</v>
      </c>
      <c r="D8">
        <v>2006</v>
      </c>
      <c r="E8" t="s">
        <v>2</v>
      </c>
      <c r="F8" t="s">
        <v>19</v>
      </c>
      <c r="G8">
        <v>9.23</v>
      </c>
      <c r="H8">
        <v>6.5</v>
      </c>
      <c r="I8">
        <v>2.9</v>
      </c>
      <c r="J8">
        <v>30.01</v>
      </c>
      <c r="K8">
        <f>SUM(G8:J8)</f>
        <v>48.64</v>
      </c>
      <c r="L8">
        <f>IF(K8&gt;20,10%,5%)</f>
        <v>0.1</v>
      </c>
      <c r="M8">
        <f>K8*L8</f>
        <v>4.8640000000000008</v>
      </c>
      <c r="N8">
        <f>LOOKUP(K8,Lookup!$A$2:$A$5,Lookup!$B$2:$B$5)</f>
        <v>0.08</v>
      </c>
      <c r="O8">
        <f>K8*N8</f>
        <v>3.8912</v>
      </c>
      <c r="P8">
        <f>K8-M8+O8</f>
        <v>47.667199999999994</v>
      </c>
    </row>
    <row r="9" spans="1:16">
      <c r="A9">
        <v>8</v>
      </c>
      <c r="B9" t="s">
        <v>32</v>
      </c>
      <c r="C9" t="s">
        <v>17</v>
      </c>
      <c r="D9">
        <v>2006</v>
      </c>
      <c r="E9" t="s">
        <v>33</v>
      </c>
      <c r="F9" t="s">
        <v>19</v>
      </c>
      <c r="G9">
        <v>9.1999999999999993</v>
      </c>
      <c r="H9">
        <v>2.93</v>
      </c>
      <c r="I9">
        <v>2.85</v>
      </c>
      <c r="J9">
        <v>29.02</v>
      </c>
      <c r="K9">
        <f>SUM(G9:J9)</f>
        <v>44</v>
      </c>
      <c r="L9">
        <f>IF(K9&gt;20,10%,5%)</f>
        <v>0.1</v>
      </c>
      <c r="M9">
        <f>K9*L9</f>
        <v>4.4000000000000004</v>
      </c>
      <c r="N9">
        <f>LOOKUP(K9,Lookup!$A$2:$A$5,Lookup!$B$2:$B$5)</f>
        <v>0.08</v>
      </c>
      <c r="O9">
        <f>K9*N9</f>
        <v>3.52</v>
      </c>
      <c r="P9">
        <f>K9-M9+O9</f>
        <v>43.120000000000005</v>
      </c>
    </row>
    <row r="10" spans="1:16">
      <c r="A10">
        <v>9</v>
      </c>
      <c r="B10" t="s">
        <v>34</v>
      </c>
      <c r="C10" t="s">
        <v>17</v>
      </c>
      <c r="D10">
        <v>2009</v>
      </c>
      <c r="E10" t="s">
        <v>2</v>
      </c>
      <c r="F10" t="s">
        <v>19</v>
      </c>
      <c r="G10">
        <v>7.06</v>
      </c>
      <c r="H10">
        <v>4.7</v>
      </c>
      <c r="I10">
        <v>2.2599999999999998</v>
      </c>
      <c r="J10">
        <v>28.62</v>
      </c>
      <c r="K10">
        <f>SUM(G10:J10)</f>
        <v>42.64</v>
      </c>
      <c r="L10">
        <f>IF(K10&gt;20,10%,5%)</f>
        <v>0.1</v>
      </c>
      <c r="M10">
        <f>K10*L10</f>
        <v>4.2640000000000002</v>
      </c>
      <c r="N10">
        <f>LOOKUP(K10,Lookup!$A$2:$A$5,Lookup!$B$2:$B$5)</f>
        <v>0.08</v>
      </c>
      <c r="O10">
        <f>K10*N10</f>
        <v>3.4112</v>
      </c>
      <c r="P10">
        <f>K10-M10+O10</f>
        <v>41.787199999999999</v>
      </c>
    </row>
    <row r="11" spans="1:16">
      <c r="A11">
        <v>10</v>
      </c>
      <c r="B11" t="s">
        <v>35</v>
      </c>
      <c r="C11" t="s">
        <v>21</v>
      </c>
      <c r="D11">
        <v>1984</v>
      </c>
      <c r="E11" t="s">
        <v>36</v>
      </c>
      <c r="F11" t="s">
        <v>19</v>
      </c>
      <c r="G11">
        <v>0.63</v>
      </c>
      <c r="H11">
        <v>0.28000000000000003</v>
      </c>
      <c r="I11">
        <v>0.47</v>
      </c>
      <c r="J11">
        <v>28.31</v>
      </c>
      <c r="K11">
        <f>SUM(G11:J11)</f>
        <v>29.689999999999998</v>
      </c>
      <c r="L11">
        <f>IF(K11&gt;20,10%,5%)</f>
        <v>0.1</v>
      </c>
      <c r="M11">
        <f>K11*L11</f>
        <v>2.9689999999999999</v>
      </c>
      <c r="N11">
        <f>LOOKUP(K11,Lookup!$A$2:$A$5,Lookup!$B$2:$B$5)</f>
        <v>0.08</v>
      </c>
      <c r="O11">
        <f>K11*N11</f>
        <v>2.3752</v>
      </c>
      <c r="P11">
        <f>K11-M11+O11</f>
        <v>29.096199999999996</v>
      </c>
    </row>
    <row r="12" spans="1:16">
      <c r="A12">
        <v>11</v>
      </c>
      <c r="B12" t="s">
        <v>37</v>
      </c>
      <c r="C12" t="s">
        <v>31</v>
      </c>
      <c r="D12">
        <v>2005</v>
      </c>
      <c r="E12" t="s">
        <v>38</v>
      </c>
      <c r="F12" t="s">
        <v>19</v>
      </c>
      <c r="G12">
        <v>11</v>
      </c>
      <c r="H12">
        <v>1.93</v>
      </c>
      <c r="I12">
        <v>2.75</v>
      </c>
      <c r="J12">
        <v>24.76</v>
      </c>
      <c r="K12">
        <f>SUM(G12:J12)</f>
        <v>40.44</v>
      </c>
      <c r="L12">
        <f>IF(K12&gt;20,10%,5%)</f>
        <v>0.1</v>
      </c>
      <c r="M12">
        <f>K12*L12</f>
        <v>4.0439999999999996</v>
      </c>
      <c r="N12">
        <f>LOOKUP(K12,Lookup!$A$2:$A$5,Lookup!$B$2:$B$5)</f>
        <v>0.08</v>
      </c>
      <c r="O12">
        <f>K12*N12</f>
        <v>3.2351999999999999</v>
      </c>
      <c r="P12">
        <f>K12-M12+O12</f>
        <v>39.6312</v>
      </c>
    </row>
    <row r="13" spans="1:16">
      <c r="A13">
        <v>12</v>
      </c>
      <c r="B13" t="s">
        <v>39</v>
      </c>
      <c r="C13" t="s">
        <v>31</v>
      </c>
      <c r="D13">
        <v>2005</v>
      </c>
      <c r="E13" t="s">
        <v>23</v>
      </c>
      <c r="F13" t="s">
        <v>19</v>
      </c>
      <c r="G13">
        <v>7.57</v>
      </c>
      <c r="H13">
        <v>4.13</v>
      </c>
      <c r="I13">
        <v>1.92</v>
      </c>
      <c r="J13">
        <v>23.42</v>
      </c>
      <c r="K13">
        <f>SUM(G13:J13)</f>
        <v>37.04</v>
      </c>
      <c r="L13">
        <f>IF(K13&gt;20,10%,5%)</f>
        <v>0.1</v>
      </c>
      <c r="M13">
        <f>K13*L13</f>
        <v>3.7040000000000002</v>
      </c>
      <c r="N13">
        <f>LOOKUP(K13,Lookup!$A$2:$A$5,Lookup!$B$2:$B$5)</f>
        <v>0.08</v>
      </c>
      <c r="O13">
        <f>K13*N13</f>
        <v>2.9632000000000001</v>
      </c>
      <c r="P13">
        <f>K13-M13+O13</f>
        <v>36.299199999999999</v>
      </c>
    </row>
    <row r="14" spans="1:16">
      <c r="A14">
        <v>13</v>
      </c>
      <c r="B14" t="s">
        <v>40</v>
      </c>
      <c r="C14" t="s">
        <v>26</v>
      </c>
      <c r="D14">
        <v>1999</v>
      </c>
      <c r="E14" t="s">
        <v>27</v>
      </c>
      <c r="F14" t="s">
        <v>19</v>
      </c>
      <c r="G14">
        <v>6.18</v>
      </c>
      <c r="H14">
        <v>7.2</v>
      </c>
      <c r="I14">
        <v>0.71</v>
      </c>
      <c r="J14">
        <v>23.1</v>
      </c>
      <c r="K14">
        <f>SUM(G14:J14)</f>
        <v>37.19</v>
      </c>
      <c r="L14">
        <f>IF(K14&gt;20,10%,5%)</f>
        <v>0.1</v>
      </c>
      <c r="M14">
        <f>K14*L14</f>
        <v>3.7189999999999999</v>
      </c>
      <c r="N14">
        <f>LOOKUP(K14,Lookup!$A$2:$A$5,Lookup!$B$2:$B$5)</f>
        <v>0.08</v>
      </c>
      <c r="O14">
        <f>K14*N14</f>
        <v>2.9752000000000001</v>
      </c>
      <c r="P14">
        <f>K14-M14+O14</f>
        <v>36.446199999999997</v>
      </c>
    </row>
    <row r="15" spans="1:16">
      <c r="A15">
        <v>14</v>
      </c>
      <c r="B15" t="s">
        <v>41</v>
      </c>
      <c r="C15" t="s">
        <v>17</v>
      </c>
      <c r="D15">
        <v>2007</v>
      </c>
      <c r="E15" t="s">
        <v>18</v>
      </c>
      <c r="F15" t="s">
        <v>19</v>
      </c>
      <c r="G15">
        <v>8.0299999999999994</v>
      </c>
      <c r="H15">
        <v>3.6</v>
      </c>
      <c r="I15">
        <v>2.15</v>
      </c>
      <c r="J15">
        <v>22.72</v>
      </c>
      <c r="K15">
        <f>SUM(G15:J15)</f>
        <v>36.5</v>
      </c>
      <c r="L15">
        <f>IF(K15&gt;20,10%,5%)</f>
        <v>0.1</v>
      </c>
      <c r="M15">
        <f>K15*L15</f>
        <v>3.6500000000000004</v>
      </c>
      <c r="N15">
        <f>LOOKUP(K15,Lookup!$A$2:$A$5,Lookup!$B$2:$B$5)</f>
        <v>0.08</v>
      </c>
      <c r="O15">
        <f>K15*N15</f>
        <v>2.92</v>
      </c>
      <c r="P15">
        <f>K15-M15+O15</f>
        <v>35.770000000000003</v>
      </c>
    </row>
    <row r="16" spans="1:16">
      <c r="A16">
        <v>15</v>
      </c>
      <c r="B16" t="s">
        <v>42</v>
      </c>
      <c r="C16" t="s">
        <v>17</v>
      </c>
      <c r="D16">
        <v>2009</v>
      </c>
      <c r="E16" t="s">
        <v>18</v>
      </c>
      <c r="F16" t="s">
        <v>19</v>
      </c>
      <c r="G16">
        <v>8.59</v>
      </c>
      <c r="H16">
        <v>2.5299999999999998</v>
      </c>
      <c r="I16">
        <v>1.79</v>
      </c>
      <c r="J16">
        <v>22</v>
      </c>
      <c r="K16">
        <f>SUM(G16:J16)</f>
        <v>34.909999999999997</v>
      </c>
      <c r="L16">
        <f>IF(K16&gt;20,10%,5%)</f>
        <v>0.1</v>
      </c>
      <c r="M16">
        <f>K16*L16</f>
        <v>3.4909999999999997</v>
      </c>
      <c r="N16">
        <f>LOOKUP(K16,Lookup!$A$2:$A$5,Lookup!$B$2:$B$5)</f>
        <v>0.08</v>
      </c>
      <c r="O16">
        <f>K16*N16</f>
        <v>2.7927999999999997</v>
      </c>
      <c r="P16">
        <f>K16-M16+O16</f>
        <v>34.211799999999997</v>
      </c>
    </row>
    <row r="17" spans="1:16">
      <c r="A17">
        <v>16</v>
      </c>
      <c r="B17" t="s">
        <v>43</v>
      </c>
      <c r="C17" t="s">
        <v>44</v>
      </c>
      <c r="D17">
        <v>2010</v>
      </c>
      <c r="E17" t="s">
        <v>33</v>
      </c>
      <c r="F17" t="s">
        <v>45</v>
      </c>
      <c r="G17">
        <v>4.9400000000000004</v>
      </c>
      <c r="H17">
        <v>0.24</v>
      </c>
      <c r="I17">
        <v>1.67</v>
      </c>
      <c r="J17">
        <v>21.82</v>
      </c>
      <c r="K17">
        <f>SUM(G17:J17)</f>
        <v>28.67</v>
      </c>
      <c r="L17">
        <f>IF(K17&gt;20,10%,5%)</f>
        <v>0.1</v>
      </c>
      <c r="M17">
        <f>K17*L17</f>
        <v>2.8670000000000004</v>
      </c>
      <c r="N17">
        <f>LOOKUP(K17,Lookup!$A$2:$A$5,Lookup!$B$2:$B$5)</f>
        <v>0.08</v>
      </c>
      <c r="O17">
        <f>K17*N17</f>
        <v>2.2936000000000001</v>
      </c>
      <c r="P17">
        <f>K17-M17+O17</f>
        <v>28.096600000000002</v>
      </c>
    </row>
    <row r="18" spans="1:16">
      <c r="A18">
        <v>17</v>
      </c>
      <c r="B18" t="s">
        <v>46</v>
      </c>
      <c r="C18" t="s">
        <v>47</v>
      </c>
      <c r="D18">
        <v>2013</v>
      </c>
      <c r="E18" t="s">
        <v>48</v>
      </c>
      <c r="F18" t="s">
        <v>49</v>
      </c>
      <c r="G18">
        <v>9.27</v>
      </c>
      <c r="H18">
        <v>0.97</v>
      </c>
      <c r="I18">
        <v>4.1399999999999997</v>
      </c>
      <c r="J18">
        <v>21.4</v>
      </c>
      <c r="K18">
        <f>SUM(G18:J18)</f>
        <v>35.78</v>
      </c>
      <c r="L18">
        <f>IF(K18&gt;20,10%,5%)</f>
        <v>0.1</v>
      </c>
      <c r="M18">
        <f>K18*L18</f>
        <v>3.5780000000000003</v>
      </c>
      <c r="N18">
        <f>LOOKUP(K18,Lookup!$A$2:$A$5,Lookup!$B$2:$B$5)</f>
        <v>0.08</v>
      </c>
      <c r="O18">
        <f>K18*N18</f>
        <v>2.8624000000000001</v>
      </c>
      <c r="P18">
        <f>K18-M18+O18</f>
        <v>35.064399999999999</v>
      </c>
    </row>
    <row r="19" spans="1:16">
      <c r="A19">
        <v>18</v>
      </c>
      <c r="B19" t="s">
        <v>50</v>
      </c>
      <c r="C19" t="s">
        <v>51</v>
      </c>
      <c r="D19">
        <v>2004</v>
      </c>
      <c r="E19" t="s">
        <v>48</v>
      </c>
      <c r="F19" t="s">
        <v>49</v>
      </c>
      <c r="G19">
        <v>0.4</v>
      </c>
      <c r="H19">
        <v>0.41</v>
      </c>
      <c r="I19">
        <v>10.57</v>
      </c>
      <c r="J19">
        <v>20.81</v>
      </c>
      <c r="K19">
        <f>SUM(G19:J19)</f>
        <v>32.19</v>
      </c>
      <c r="L19">
        <f>IF(K19&gt;20,10%,5%)</f>
        <v>0.1</v>
      </c>
      <c r="M19">
        <f>K19*L19</f>
        <v>3.2189999999999999</v>
      </c>
      <c r="N19">
        <f>LOOKUP(K19,Lookup!$A$2:$A$5,Lookup!$B$2:$B$5)</f>
        <v>0.08</v>
      </c>
      <c r="O19">
        <f>K19*N19</f>
        <v>2.5751999999999997</v>
      </c>
      <c r="P19">
        <f>K19-M19+O19</f>
        <v>31.546199999999995</v>
      </c>
    </row>
    <row r="20" spans="1:16">
      <c r="A20">
        <v>19</v>
      </c>
      <c r="B20" t="s">
        <v>52</v>
      </c>
      <c r="C20" t="s">
        <v>53</v>
      </c>
      <c r="D20">
        <v>1990</v>
      </c>
      <c r="E20" t="s">
        <v>2</v>
      </c>
      <c r="F20" t="s">
        <v>19</v>
      </c>
      <c r="G20">
        <v>3.75</v>
      </c>
      <c r="H20">
        <v>3.54</v>
      </c>
      <c r="I20">
        <v>0.55000000000000004</v>
      </c>
      <c r="J20">
        <v>20.61</v>
      </c>
      <c r="K20">
        <f>SUM(G20:J20)</f>
        <v>28.45</v>
      </c>
      <c r="L20">
        <f>IF(K20&gt;20,10%,5%)</f>
        <v>0.1</v>
      </c>
      <c r="M20">
        <f>K20*L20</f>
        <v>2.8450000000000002</v>
      </c>
      <c r="N20">
        <f>LOOKUP(K20,Lookup!$A$2:$A$5,Lookup!$B$2:$B$5)</f>
        <v>0.08</v>
      </c>
      <c r="O20">
        <f>K20*N20</f>
        <v>2.2759999999999998</v>
      </c>
      <c r="P20">
        <f>K20-M20+O20</f>
        <v>27.881</v>
      </c>
    </row>
    <row r="21" spans="1:16">
      <c r="A21">
        <v>20</v>
      </c>
      <c r="B21" t="s">
        <v>54</v>
      </c>
      <c r="C21" t="s">
        <v>31</v>
      </c>
      <c r="D21">
        <v>2005</v>
      </c>
      <c r="E21" t="s">
        <v>33</v>
      </c>
      <c r="F21" t="s">
        <v>19</v>
      </c>
      <c r="G21">
        <v>9.26</v>
      </c>
      <c r="H21">
        <v>4.16</v>
      </c>
      <c r="I21">
        <v>2.0499999999999998</v>
      </c>
      <c r="J21">
        <v>20.22</v>
      </c>
      <c r="K21">
        <f>SUM(G21:J21)</f>
        <v>35.69</v>
      </c>
      <c r="L21">
        <f>IF(K21&gt;20,10%,5%)</f>
        <v>0.1</v>
      </c>
      <c r="M21">
        <f>K21*L21</f>
        <v>3.569</v>
      </c>
      <c r="N21">
        <f>LOOKUP(K21,Lookup!$A$2:$A$5,Lookup!$B$2:$B$5)</f>
        <v>0.08</v>
      </c>
      <c r="O21">
        <f>K21*N21</f>
        <v>2.8552</v>
      </c>
      <c r="P21">
        <f>K21-M21+O21</f>
        <v>34.976199999999992</v>
      </c>
    </row>
    <row r="22" spans="1:16">
      <c r="A22">
        <v>21</v>
      </c>
      <c r="B22" t="s">
        <v>55</v>
      </c>
      <c r="C22" t="s">
        <v>31</v>
      </c>
      <c r="D22">
        <v>2006</v>
      </c>
      <c r="E22" t="s">
        <v>27</v>
      </c>
      <c r="F22" t="s">
        <v>19</v>
      </c>
      <c r="G22">
        <v>4.5199999999999996</v>
      </c>
      <c r="H22">
        <v>6.04</v>
      </c>
      <c r="I22">
        <v>1.37</v>
      </c>
      <c r="J22">
        <v>18.36</v>
      </c>
      <c r="K22">
        <f>SUM(G22:J22)</f>
        <v>30.29</v>
      </c>
      <c r="L22">
        <f>IF(K22&gt;20,10%,5%)</f>
        <v>0.1</v>
      </c>
      <c r="M22">
        <f>K22*L22</f>
        <v>3.0289999999999999</v>
      </c>
      <c r="N22">
        <f>LOOKUP(K22,Lookup!$A$2:$A$5,Lookup!$B$2:$B$5)</f>
        <v>0.08</v>
      </c>
      <c r="O22">
        <f>K22*N22</f>
        <v>2.4232</v>
      </c>
      <c r="P22">
        <f>K22-M22+O22</f>
        <v>29.684200000000001</v>
      </c>
    </row>
    <row r="23" spans="1:16">
      <c r="A23">
        <v>22</v>
      </c>
      <c r="B23" t="s">
        <v>56</v>
      </c>
      <c r="C23" t="s">
        <v>26</v>
      </c>
      <c r="D23">
        <v>1989</v>
      </c>
      <c r="E23" t="s">
        <v>2</v>
      </c>
      <c r="F23" t="s">
        <v>19</v>
      </c>
      <c r="G23">
        <v>2.71</v>
      </c>
      <c r="H23">
        <v>4.18</v>
      </c>
      <c r="I23">
        <v>0.42</v>
      </c>
      <c r="J23">
        <v>18.14</v>
      </c>
      <c r="K23">
        <f>SUM(G23:J23)</f>
        <v>25.45</v>
      </c>
      <c r="L23">
        <f>IF(K23&gt;20,10%,5%)</f>
        <v>0.1</v>
      </c>
      <c r="M23">
        <f>K23*L23</f>
        <v>2.5449999999999999</v>
      </c>
      <c r="N23">
        <f>LOOKUP(K23,Lookup!$A$2:$A$5,Lookup!$B$2:$B$5)</f>
        <v>0.08</v>
      </c>
      <c r="O23">
        <f>K23*N23</f>
        <v>2.036</v>
      </c>
      <c r="P23">
        <f>K23-M23+O23</f>
        <v>24.941000000000003</v>
      </c>
    </row>
    <row r="24" spans="1:16">
      <c r="A24">
        <v>23</v>
      </c>
      <c r="B24" t="s">
        <v>57</v>
      </c>
      <c r="C24" t="s">
        <v>21</v>
      </c>
      <c r="D24">
        <v>1988</v>
      </c>
      <c r="E24" t="s">
        <v>2</v>
      </c>
      <c r="F24" t="s">
        <v>19</v>
      </c>
      <c r="G24">
        <v>3.44</v>
      </c>
      <c r="H24">
        <v>3.84</v>
      </c>
      <c r="I24">
        <v>0.46</v>
      </c>
      <c r="J24">
        <v>17.28</v>
      </c>
      <c r="K24">
        <f>SUM(G24:J24)</f>
        <v>25.02</v>
      </c>
      <c r="L24">
        <f>IF(K24&gt;20,10%,5%)</f>
        <v>0.1</v>
      </c>
      <c r="M24">
        <f>K24*L24</f>
        <v>2.5020000000000002</v>
      </c>
      <c r="N24">
        <f>LOOKUP(K24,Lookup!$A$2:$A$5,Lookup!$B$2:$B$5)</f>
        <v>0.08</v>
      </c>
      <c r="O24">
        <f>K24*N24</f>
        <v>2.0015999999999998</v>
      </c>
      <c r="P24">
        <f>K24-M24+O24</f>
        <v>24.519600000000001</v>
      </c>
    </row>
    <row r="25" spans="1:16">
      <c r="A25">
        <v>24</v>
      </c>
      <c r="B25" t="s">
        <v>46</v>
      </c>
      <c r="C25" t="s">
        <v>44</v>
      </c>
      <c r="D25">
        <v>2013</v>
      </c>
      <c r="E25" t="s">
        <v>48</v>
      </c>
      <c r="F25" t="s">
        <v>49</v>
      </c>
      <c r="G25">
        <v>5.31</v>
      </c>
      <c r="H25">
        <v>0.06</v>
      </c>
      <c r="I25">
        <v>1.38</v>
      </c>
      <c r="J25">
        <v>16.38</v>
      </c>
      <c r="K25">
        <f>SUM(G25:J25)</f>
        <v>23.13</v>
      </c>
      <c r="L25">
        <f>IF(K25&gt;20,10%,5%)</f>
        <v>0.1</v>
      </c>
      <c r="M25">
        <f>K25*L25</f>
        <v>2.3130000000000002</v>
      </c>
      <c r="N25">
        <f>LOOKUP(K25,Lookup!$A$2:$A$5,Lookup!$B$2:$B$5)</f>
        <v>0.08</v>
      </c>
      <c r="O25">
        <f>K25*N25</f>
        <v>1.8504</v>
      </c>
      <c r="P25">
        <f>K25-M25+O25</f>
        <v>22.667400000000001</v>
      </c>
    </row>
    <row r="26" spans="1:16">
      <c r="A26">
        <v>25</v>
      </c>
      <c r="B26" t="s">
        <v>58</v>
      </c>
      <c r="C26" t="s">
        <v>51</v>
      </c>
      <c r="D26">
        <v>2002</v>
      </c>
      <c r="E26" t="s">
        <v>48</v>
      </c>
      <c r="F26" t="s">
        <v>49</v>
      </c>
      <c r="G26">
        <v>5.49</v>
      </c>
      <c r="H26">
        <v>0.47</v>
      </c>
      <c r="I26">
        <v>1.78</v>
      </c>
      <c r="J26">
        <v>16.149999999999999</v>
      </c>
      <c r="K26">
        <f>SUM(G26:J26)</f>
        <v>23.89</v>
      </c>
      <c r="L26">
        <f>IF(K26&gt;20,10%,5%)</f>
        <v>0.1</v>
      </c>
      <c r="M26">
        <f>K26*L26</f>
        <v>2.3890000000000002</v>
      </c>
      <c r="N26">
        <f>LOOKUP(K26,Lookup!$A$2:$A$5,Lookup!$B$2:$B$5)</f>
        <v>0.08</v>
      </c>
      <c r="O26">
        <f>K26*N26</f>
        <v>1.9112</v>
      </c>
      <c r="P26">
        <f>K26-M26+O26</f>
        <v>23.412200000000002</v>
      </c>
    </row>
    <row r="27" spans="1:16">
      <c r="A27">
        <v>26</v>
      </c>
      <c r="B27" t="s">
        <v>59</v>
      </c>
      <c r="C27" t="s">
        <v>60</v>
      </c>
      <c r="D27">
        <v>2002</v>
      </c>
      <c r="E27" t="s">
        <v>27</v>
      </c>
      <c r="F27" t="s">
        <v>19</v>
      </c>
      <c r="G27">
        <v>3.9</v>
      </c>
      <c r="H27">
        <v>5.38</v>
      </c>
      <c r="I27">
        <v>0.5</v>
      </c>
      <c r="J27">
        <v>15.85</v>
      </c>
      <c r="K27">
        <f>SUM(G27:J27)</f>
        <v>25.63</v>
      </c>
      <c r="L27">
        <f>IF(K27&gt;20,10%,5%)</f>
        <v>0.1</v>
      </c>
      <c r="M27">
        <f>K27*L27</f>
        <v>2.5630000000000002</v>
      </c>
      <c r="N27">
        <f>LOOKUP(K27,Lookup!$A$2:$A$5,Lookup!$B$2:$B$5)</f>
        <v>0.08</v>
      </c>
      <c r="O27">
        <f>K27*N27</f>
        <v>2.0503999999999998</v>
      </c>
      <c r="P27">
        <f>K27-M27+O27</f>
        <v>25.1174</v>
      </c>
    </row>
    <row r="28" spans="1:16">
      <c r="A28">
        <v>27</v>
      </c>
      <c r="B28" t="s">
        <v>61</v>
      </c>
      <c r="C28" t="s">
        <v>31</v>
      </c>
      <c r="D28">
        <v>2010</v>
      </c>
      <c r="E28" t="s">
        <v>27</v>
      </c>
      <c r="F28" t="s">
        <v>19</v>
      </c>
      <c r="G28">
        <v>3.28</v>
      </c>
      <c r="H28">
        <v>5.65</v>
      </c>
      <c r="I28">
        <v>0.82</v>
      </c>
      <c r="J28">
        <v>15.32</v>
      </c>
      <c r="K28">
        <f>SUM(G28:J28)</f>
        <v>25.07</v>
      </c>
      <c r="L28">
        <f>IF(K28&gt;20,10%,5%)</f>
        <v>0.1</v>
      </c>
      <c r="M28">
        <f>K28*L28</f>
        <v>2.5070000000000001</v>
      </c>
      <c r="N28">
        <f>LOOKUP(K28,Lookup!$A$2:$A$5,Lookup!$B$2:$B$5)</f>
        <v>0.08</v>
      </c>
      <c r="O28">
        <f>K28*N28</f>
        <v>2.0056000000000003</v>
      </c>
      <c r="P28">
        <f>K28-M28+O28</f>
        <v>24.5686</v>
      </c>
    </row>
    <row r="29" spans="1:16">
      <c r="A29">
        <v>28</v>
      </c>
      <c r="B29" t="s">
        <v>62</v>
      </c>
      <c r="C29" t="s">
        <v>31</v>
      </c>
      <c r="D29">
        <v>2005</v>
      </c>
      <c r="E29" t="s">
        <v>29</v>
      </c>
      <c r="F29" t="s">
        <v>19</v>
      </c>
      <c r="G29">
        <v>5.36</v>
      </c>
      <c r="H29">
        <v>5.32</v>
      </c>
      <c r="I29">
        <v>1.18</v>
      </c>
      <c r="J29">
        <v>15.3</v>
      </c>
      <c r="K29">
        <f>SUM(G29:J29)</f>
        <v>27.16</v>
      </c>
      <c r="L29">
        <f>IF(K29&gt;20,10%,5%)</f>
        <v>0.1</v>
      </c>
      <c r="M29">
        <f>K29*L29</f>
        <v>2.7160000000000002</v>
      </c>
      <c r="N29">
        <f>LOOKUP(K29,Lookup!$A$2:$A$5,Lookup!$B$2:$B$5)</f>
        <v>0.08</v>
      </c>
      <c r="O29">
        <f>K29*N29</f>
        <v>2.1728000000000001</v>
      </c>
      <c r="P29">
        <f>K29-M29+O29</f>
        <v>26.616799999999998</v>
      </c>
    </row>
    <row r="30" spans="1:16">
      <c r="A30">
        <v>29</v>
      </c>
      <c r="B30" t="s">
        <v>63</v>
      </c>
      <c r="C30" t="s">
        <v>51</v>
      </c>
      <c r="D30">
        <v>2001</v>
      </c>
      <c r="E30" t="s">
        <v>23</v>
      </c>
      <c r="F30" t="s">
        <v>64</v>
      </c>
      <c r="G30">
        <v>5.09</v>
      </c>
      <c r="H30">
        <v>1.87</v>
      </c>
      <c r="I30">
        <v>1.1599999999999999</v>
      </c>
      <c r="J30">
        <v>14.98</v>
      </c>
      <c r="K30">
        <f>SUM(G30:J30)</f>
        <v>23.1</v>
      </c>
      <c r="L30">
        <f>IF(K30&gt;20,10%,5%)</f>
        <v>0.1</v>
      </c>
      <c r="M30">
        <f>K30*L30</f>
        <v>2.31</v>
      </c>
      <c r="N30">
        <f>LOOKUP(K30,Lookup!$A$2:$A$5,Lookup!$B$2:$B$5)</f>
        <v>0.08</v>
      </c>
      <c r="O30">
        <f>K30*N30</f>
        <v>1.8480000000000001</v>
      </c>
      <c r="P30">
        <f>K30-M30+O30</f>
        <v>22.638000000000002</v>
      </c>
    </row>
    <row r="31" spans="1:16">
      <c r="A31">
        <v>30</v>
      </c>
      <c r="B31" t="s">
        <v>65</v>
      </c>
      <c r="C31" t="s">
        <v>44</v>
      </c>
      <c r="D31">
        <v>2011</v>
      </c>
      <c r="E31" t="s">
        <v>36</v>
      </c>
      <c r="F31" t="s">
        <v>66</v>
      </c>
      <c r="G31">
        <v>4.28</v>
      </c>
      <c r="H31">
        <v>0.13</v>
      </c>
      <c r="I31">
        <v>1.32</v>
      </c>
      <c r="J31">
        <v>14.76</v>
      </c>
      <c r="K31">
        <f>SUM(G31:J31)</f>
        <v>20.490000000000002</v>
      </c>
      <c r="L31">
        <f>IF(K31&gt;20,10%,5%)</f>
        <v>0.1</v>
      </c>
      <c r="M31">
        <f>K31*L31</f>
        <v>2.0490000000000004</v>
      </c>
      <c r="N31">
        <f>LOOKUP(K31,Lookup!$A$2:$A$5,Lookup!$B$2:$B$5)</f>
        <v>0.08</v>
      </c>
      <c r="O31">
        <f>K31*N31</f>
        <v>1.6392000000000002</v>
      </c>
      <c r="P31">
        <f>K31-M31+O31</f>
        <v>20.080200000000001</v>
      </c>
    </row>
    <row r="32" spans="1:16">
      <c r="A32">
        <v>31</v>
      </c>
      <c r="B32" t="s">
        <v>67</v>
      </c>
      <c r="C32" t="s">
        <v>26</v>
      </c>
      <c r="D32">
        <v>1998</v>
      </c>
      <c r="E32" t="s">
        <v>27</v>
      </c>
      <c r="F32" t="s">
        <v>19</v>
      </c>
      <c r="G32">
        <v>5.04</v>
      </c>
      <c r="H32">
        <v>3.12</v>
      </c>
      <c r="I32">
        <v>0.59</v>
      </c>
      <c r="J32">
        <v>14.64</v>
      </c>
      <c r="K32">
        <f>SUM(G32:J32)</f>
        <v>23.39</v>
      </c>
      <c r="L32">
        <f>IF(K32&gt;20,10%,5%)</f>
        <v>0.1</v>
      </c>
      <c r="M32">
        <f>K32*L32</f>
        <v>2.339</v>
      </c>
      <c r="N32">
        <f>LOOKUP(K32,Lookup!$A$2:$A$5,Lookup!$B$2:$B$5)</f>
        <v>0.08</v>
      </c>
      <c r="O32">
        <f>K32*N32</f>
        <v>1.8712</v>
      </c>
      <c r="P32">
        <f>K32-M32+O32</f>
        <v>22.922200000000004</v>
      </c>
    </row>
    <row r="33" spans="1:16">
      <c r="A33">
        <v>32</v>
      </c>
      <c r="B33" t="s">
        <v>68</v>
      </c>
      <c r="C33" t="s">
        <v>44</v>
      </c>
      <c r="D33">
        <v>2010</v>
      </c>
      <c r="E33" t="s">
        <v>36</v>
      </c>
      <c r="F33" t="s">
        <v>66</v>
      </c>
      <c r="G33">
        <v>3.73</v>
      </c>
      <c r="H33">
        <v>0.11</v>
      </c>
      <c r="I33">
        <v>1.1299999999999999</v>
      </c>
      <c r="J33">
        <v>14.64</v>
      </c>
      <c r="K33">
        <f>SUM(G33:J33)</f>
        <v>19.61</v>
      </c>
      <c r="L33">
        <f>IF(K33&gt;20,10%,5%)</f>
        <v>0.05</v>
      </c>
      <c r="M33">
        <f>K33*L33</f>
        <v>0.98050000000000004</v>
      </c>
      <c r="N33">
        <f>LOOKUP(K33,Lookup!$A$2:$A$5,Lookup!$B$2:$B$5)</f>
        <v>0.1</v>
      </c>
      <c r="O33">
        <f>K33*N33</f>
        <v>1.9610000000000001</v>
      </c>
      <c r="P33">
        <f>K33-M33+O33</f>
        <v>20.590499999999999</v>
      </c>
    </row>
    <row r="34" spans="1:16">
      <c r="A34">
        <v>33</v>
      </c>
      <c r="B34" t="s">
        <v>69</v>
      </c>
      <c r="C34" t="s">
        <v>70</v>
      </c>
      <c r="D34">
        <v>2013</v>
      </c>
      <c r="E34" t="s">
        <v>27</v>
      </c>
      <c r="F34" t="s">
        <v>19</v>
      </c>
      <c r="G34">
        <v>4.05</v>
      </c>
      <c r="H34">
        <v>4.34</v>
      </c>
      <c r="I34">
        <v>0.79</v>
      </c>
      <c r="J34">
        <v>14.35</v>
      </c>
      <c r="K34">
        <f>SUM(G34:J34)</f>
        <v>23.53</v>
      </c>
      <c r="L34">
        <f>IF(K34&gt;20,10%,5%)</f>
        <v>0.1</v>
      </c>
      <c r="M34">
        <f>K34*L34</f>
        <v>2.3530000000000002</v>
      </c>
      <c r="N34">
        <f>LOOKUP(K34,Lookup!$A$2:$A$5,Lookup!$B$2:$B$5)</f>
        <v>0.08</v>
      </c>
      <c r="O34">
        <f>K34*N34</f>
        <v>1.8824000000000001</v>
      </c>
      <c r="P34">
        <f>K34-M34+O34</f>
        <v>23.0594</v>
      </c>
    </row>
    <row r="35" spans="1:16">
      <c r="A35">
        <v>34</v>
      </c>
      <c r="B35" t="s">
        <v>71</v>
      </c>
      <c r="C35" t="s">
        <v>72</v>
      </c>
      <c r="D35">
        <v>2015</v>
      </c>
      <c r="E35" t="s">
        <v>36</v>
      </c>
      <c r="F35" t="s">
        <v>66</v>
      </c>
      <c r="G35">
        <v>5.81</v>
      </c>
      <c r="H35">
        <v>0.35</v>
      </c>
      <c r="I35">
        <v>2.31</v>
      </c>
      <c r="J35">
        <v>14.24</v>
      </c>
      <c r="K35">
        <f>SUM(G35:J35)</f>
        <v>22.71</v>
      </c>
      <c r="L35">
        <f>IF(K35&gt;20,10%,5%)</f>
        <v>0.1</v>
      </c>
      <c r="M35">
        <f>K35*L35</f>
        <v>2.2710000000000004</v>
      </c>
      <c r="N35">
        <f>LOOKUP(K35,Lookup!$A$2:$A$5,Lookup!$B$2:$B$5)</f>
        <v>0.08</v>
      </c>
      <c r="O35">
        <f>K35*N35</f>
        <v>1.8168000000000002</v>
      </c>
      <c r="P35">
        <f>K35-M35+O35</f>
        <v>22.255800000000001</v>
      </c>
    </row>
    <row r="36" spans="1:16">
      <c r="A36">
        <v>35</v>
      </c>
      <c r="B36" t="s">
        <v>73</v>
      </c>
      <c r="C36" t="s">
        <v>47</v>
      </c>
      <c r="D36">
        <v>2012</v>
      </c>
      <c r="E36" t="s">
        <v>36</v>
      </c>
      <c r="F36" t="s">
        <v>66</v>
      </c>
      <c r="G36">
        <v>5.88</v>
      </c>
      <c r="H36">
        <v>0.65</v>
      </c>
      <c r="I36">
        <v>2.52</v>
      </c>
      <c r="J36">
        <v>14.03</v>
      </c>
      <c r="K36">
        <f>SUM(G36:J36)</f>
        <v>23.08</v>
      </c>
      <c r="L36">
        <f>IF(K36&gt;20,10%,5%)</f>
        <v>0.1</v>
      </c>
      <c r="M36">
        <f>K36*L36</f>
        <v>2.3079999999999998</v>
      </c>
      <c r="N36">
        <f>LOOKUP(K36,Lookup!$A$2:$A$5,Lookup!$B$2:$B$5)</f>
        <v>0.08</v>
      </c>
      <c r="O36">
        <f>K36*N36</f>
        <v>1.8463999999999998</v>
      </c>
      <c r="P36">
        <f>K36-M36+O36</f>
        <v>22.618399999999998</v>
      </c>
    </row>
    <row r="37" spans="1:16">
      <c r="A37">
        <v>36</v>
      </c>
      <c r="B37" t="s">
        <v>73</v>
      </c>
      <c r="C37" t="s">
        <v>44</v>
      </c>
      <c r="D37">
        <v>2012</v>
      </c>
      <c r="E37" t="s">
        <v>36</v>
      </c>
      <c r="F37" t="s">
        <v>66</v>
      </c>
      <c r="G37">
        <v>4.3</v>
      </c>
      <c r="H37">
        <v>7.0000000000000007E-2</v>
      </c>
      <c r="I37">
        <v>1.1200000000000001</v>
      </c>
      <c r="J37">
        <v>13.73</v>
      </c>
      <c r="K37">
        <f>SUM(G37:J37)</f>
        <v>19.22</v>
      </c>
      <c r="L37">
        <f>IF(K37&gt;20,10%,5%)</f>
        <v>0.05</v>
      </c>
      <c r="M37">
        <f>K37*L37</f>
        <v>0.96099999999999997</v>
      </c>
      <c r="N37">
        <f>LOOKUP(K37,Lookup!$A$2:$A$5,Lookup!$B$2:$B$5)</f>
        <v>0.1</v>
      </c>
      <c r="O37">
        <f>K37*N37</f>
        <v>1.9219999999999999</v>
      </c>
      <c r="P37">
        <f>K37-M37+O37</f>
        <v>20.181000000000001</v>
      </c>
    </row>
    <row r="38" spans="1:16">
      <c r="A38">
        <v>37</v>
      </c>
      <c r="B38" t="s">
        <v>74</v>
      </c>
      <c r="C38" t="s">
        <v>44</v>
      </c>
      <c r="D38">
        <v>2009</v>
      </c>
      <c r="E38" t="s">
        <v>36</v>
      </c>
      <c r="F38" t="s">
        <v>66</v>
      </c>
      <c r="G38">
        <v>3.63</v>
      </c>
      <c r="H38">
        <v>0.08</v>
      </c>
      <c r="I38">
        <v>1.29</v>
      </c>
      <c r="J38">
        <v>13.51</v>
      </c>
      <c r="K38">
        <f>SUM(G38:J38)</f>
        <v>18.509999999999998</v>
      </c>
      <c r="L38">
        <f>IF(K38&gt;20,10%,5%)</f>
        <v>0.05</v>
      </c>
      <c r="M38">
        <f>K38*L38</f>
        <v>0.92549999999999999</v>
      </c>
      <c r="N38">
        <f>LOOKUP(K38,Lookup!$A$2:$A$5,Lookup!$B$2:$B$5)</f>
        <v>0.1</v>
      </c>
      <c r="O38">
        <f>K38*N38</f>
        <v>1.851</v>
      </c>
      <c r="P38">
        <f>K38-M38+O38</f>
        <v>19.435499999999998</v>
      </c>
    </row>
    <row r="39" spans="1:16">
      <c r="A39">
        <v>38</v>
      </c>
      <c r="B39" t="s">
        <v>65</v>
      </c>
      <c r="C39" t="s">
        <v>47</v>
      </c>
      <c r="D39">
        <v>2011</v>
      </c>
      <c r="E39" t="s">
        <v>36</v>
      </c>
      <c r="F39" t="s">
        <v>66</v>
      </c>
      <c r="G39">
        <v>5.82</v>
      </c>
      <c r="H39">
        <v>0.49</v>
      </c>
      <c r="I39">
        <v>1.62</v>
      </c>
      <c r="J39">
        <v>13.46</v>
      </c>
      <c r="K39">
        <f>SUM(G39:J39)</f>
        <v>21.39</v>
      </c>
      <c r="L39">
        <f>IF(K39&gt;20,10%,5%)</f>
        <v>0.1</v>
      </c>
      <c r="M39">
        <f>K39*L39</f>
        <v>2.1390000000000002</v>
      </c>
      <c r="N39">
        <f>LOOKUP(K39,Lookup!$A$2:$A$5,Lookup!$B$2:$B$5)</f>
        <v>0.08</v>
      </c>
      <c r="O39">
        <f>K39*N39</f>
        <v>1.7112000000000001</v>
      </c>
      <c r="P39">
        <f>K39-M39+O39</f>
        <v>20.962200000000003</v>
      </c>
    </row>
    <row r="40" spans="1:16">
      <c r="A40">
        <v>39</v>
      </c>
      <c r="B40" t="s">
        <v>75</v>
      </c>
      <c r="C40" t="s">
        <v>51</v>
      </c>
      <c r="D40">
        <v>2001</v>
      </c>
      <c r="E40" t="s">
        <v>48</v>
      </c>
      <c r="F40" t="s">
        <v>49</v>
      </c>
      <c r="G40">
        <v>4.51</v>
      </c>
      <c r="H40">
        <v>0.3</v>
      </c>
      <c r="I40">
        <v>1.3</v>
      </c>
      <c r="J40">
        <v>13.1</v>
      </c>
      <c r="K40">
        <f>SUM(G40:J40)</f>
        <v>19.21</v>
      </c>
      <c r="L40">
        <f>IF(K40&gt;20,10%,5%)</f>
        <v>0.05</v>
      </c>
      <c r="M40">
        <f>K40*L40</f>
        <v>0.96050000000000013</v>
      </c>
      <c r="N40">
        <f>LOOKUP(K40,Lookup!$A$2:$A$5,Lookup!$B$2:$B$5)</f>
        <v>0.1</v>
      </c>
      <c r="O40">
        <f>K40*N40</f>
        <v>1.9210000000000003</v>
      </c>
      <c r="P40">
        <f>K40-M40+O40</f>
        <v>20.170500000000001</v>
      </c>
    </row>
    <row r="41" spans="1:16">
      <c r="A41">
        <v>40</v>
      </c>
      <c r="B41" t="s">
        <v>76</v>
      </c>
      <c r="C41" t="s">
        <v>17</v>
      </c>
      <c r="D41">
        <v>2008</v>
      </c>
      <c r="E41" t="s">
        <v>77</v>
      </c>
      <c r="F41" t="s">
        <v>19</v>
      </c>
      <c r="G41">
        <v>2.61</v>
      </c>
      <c r="H41">
        <v>2.66</v>
      </c>
      <c r="I41">
        <v>1.02</v>
      </c>
      <c r="J41">
        <v>13.04</v>
      </c>
      <c r="K41">
        <f>SUM(G41:J41)</f>
        <v>19.329999999999998</v>
      </c>
      <c r="L41">
        <f>IF(K41&gt;20,10%,5%)</f>
        <v>0.05</v>
      </c>
      <c r="M41">
        <f>K41*L41</f>
        <v>0.96649999999999991</v>
      </c>
      <c r="N41">
        <f>LOOKUP(K41,Lookup!$A$2:$A$5,Lookup!$B$2:$B$5)</f>
        <v>0.1</v>
      </c>
      <c r="O41">
        <f>K41*N41</f>
        <v>1.9329999999999998</v>
      </c>
      <c r="P41">
        <f>K41-M41+O41</f>
        <v>20.296499999999998</v>
      </c>
    </row>
    <row r="42" spans="1:16">
      <c r="A42">
        <v>41</v>
      </c>
      <c r="B42" t="s">
        <v>68</v>
      </c>
      <c r="C42" t="s">
        <v>47</v>
      </c>
      <c r="D42">
        <v>2010</v>
      </c>
      <c r="E42" t="s">
        <v>36</v>
      </c>
      <c r="F42" t="s">
        <v>66</v>
      </c>
      <c r="G42">
        <v>4.4400000000000004</v>
      </c>
      <c r="H42">
        <v>0.48</v>
      </c>
      <c r="I42">
        <v>1.83</v>
      </c>
      <c r="J42">
        <v>12.73</v>
      </c>
      <c r="K42">
        <f>SUM(G42:J42)</f>
        <v>19.48</v>
      </c>
      <c r="L42">
        <f>IF(K42&gt;20,10%,5%)</f>
        <v>0.05</v>
      </c>
      <c r="M42">
        <f>K42*L42</f>
        <v>0.97400000000000009</v>
      </c>
      <c r="N42">
        <f>LOOKUP(K42,Lookup!$A$2:$A$5,Lookup!$B$2:$B$5)</f>
        <v>0.1</v>
      </c>
      <c r="O42">
        <f>K42*N42</f>
        <v>1.9480000000000002</v>
      </c>
      <c r="P42">
        <f>K42-M42+O42</f>
        <v>20.454000000000001</v>
      </c>
    </row>
    <row r="43" spans="1:16">
      <c r="A43">
        <v>42</v>
      </c>
      <c r="B43" t="s">
        <v>78</v>
      </c>
      <c r="C43" t="s">
        <v>31</v>
      </c>
      <c r="D43">
        <v>2005</v>
      </c>
      <c r="E43" t="s">
        <v>38</v>
      </c>
      <c r="F43" t="s">
        <v>19</v>
      </c>
      <c r="G43">
        <v>3.52</v>
      </c>
      <c r="H43">
        <v>5.33</v>
      </c>
      <c r="I43">
        <v>0.88</v>
      </c>
      <c r="J43">
        <v>12.27</v>
      </c>
      <c r="K43">
        <f>SUM(G43:J43)</f>
        <v>22</v>
      </c>
      <c r="L43">
        <f>IF(K43&gt;20,10%,5%)</f>
        <v>0.1</v>
      </c>
      <c r="M43">
        <f>K43*L43</f>
        <v>2.2000000000000002</v>
      </c>
      <c r="N43">
        <f>LOOKUP(K43,Lookup!$A$2:$A$5,Lookup!$B$2:$B$5)</f>
        <v>0.08</v>
      </c>
      <c r="O43">
        <f>K43*N43</f>
        <v>1.76</v>
      </c>
      <c r="P43">
        <f>K43-M43+O43</f>
        <v>21.560000000000002</v>
      </c>
    </row>
    <row r="44" spans="1:16">
      <c r="A44">
        <v>43</v>
      </c>
      <c r="B44" t="s">
        <v>79</v>
      </c>
      <c r="C44" t="s">
        <v>70</v>
      </c>
      <c r="D44">
        <v>2011</v>
      </c>
      <c r="E44" t="s">
        <v>23</v>
      </c>
      <c r="F44" t="s">
        <v>19</v>
      </c>
      <c r="G44">
        <v>3.91</v>
      </c>
      <c r="H44">
        <v>2.67</v>
      </c>
      <c r="I44">
        <v>0.89</v>
      </c>
      <c r="J44">
        <v>12.21</v>
      </c>
      <c r="K44">
        <f>SUM(G44:J44)</f>
        <v>19.68</v>
      </c>
      <c r="L44">
        <f>IF(K44&gt;20,10%,5%)</f>
        <v>0.05</v>
      </c>
      <c r="M44">
        <f>K44*L44</f>
        <v>0.98399999999999999</v>
      </c>
      <c r="N44">
        <f>LOOKUP(K44,Lookup!$A$2:$A$5,Lookup!$B$2:$B$5)</f>
        <v>0.1</v>
      </c>
      <c r="O44">
        <f>K44*N44</f>
        <v>1.968</v>
      </c>
      <c r="P44">
        <f>K44-M44+O44</f>
        <v>20.663999999999998</v>
      </c>
    </row>
    <row r="45" spans="1:16">
      <c r="A45">
        <v>44</v>
      </c>
      <c r="B45" t="s">
        <v>80</v>
      </c>
      <c r="C45" t="s">
        <v>44</v>
      </c>
      <c r="D45">
        <v>2007</v>
      </c>
      <c r="E45" t="s">
        <v>36</v>
      </c>
      <c r="F45" t="s">
        <v>45</v>
      </c>
      <c r="G45">
        <v>2.83</v>
      </c>
      <c r="H45">
        <v>0.13</v>
      </c>
      <c r="I45">
        <v>1.21</v>
      </c>
      <c r="J45">
        <v>12.14</v>
      </c>
      <c r="K45">
        <f>SUM(G45:J45)</f>
        <v>16.310000000000002</v>
      </c>
      <c r="L45">
        <f>IF(K45&gt;20,10%,5%)</f>
        <v>0.05</v>
      </c>
      <c r="M45">
        <f>K45*L45</f>
        <v>0.81550000000000011</v>
      </c>
      <c r="N45">
        <f>LOOKUP(K45,Lookup!$A$2:$A$5,Lookup!$B$2:$B$5)</f>
        <v>0.1</v>
      </c>
      <c r="O45">
        <f>K45*N45</f>
        <v>1.6310000000000002</v>
      </c>
      <c r="P45">
        <f>K45-M45+O45</f>
        <v>17.125500000000002</v>
      </c>
    </row>
    <row r="46" spans="1:16">
      <c r="A46">
        <v>45</v>
      </c>
      <c r="B46" t="s">
        <v>46</v>
      </c>
      <c r="C46" t="s">
        <v>72</v>
      </c>
      <c r="D46">
        <v>2014</v>
      </c>
      <c r="E46" t="s">
        <v>48</v>
      </c>
      <c r="F46" t="s">
        <v>49</v>
      </c>
      <c r="G46">
        <v>5.81</v>
      </c>
      <c r="H46">
        <v>0.36</v>
      </c>
      <c r="I46">
        <v>2.02</v>
      </c>
      <c r="J46">
        <v>11.98</v>
      </c>
      <c r="K46">
        <f>SUM(G46:J46)</f>
        <v>20.170000000000002</v>
      </c>
      <c r="L46">
        <f>IF(K46&gt;20,10%,5%)</f>
        <v>0.1</v>
      </c>
      <c r="M46">
        <f>K46*L46</f>
        <v>2.0170000000000003</v>
      </c>
      <c r="N46">
        <f>LOOKUP(K46,Lookup!$A$2:$A$5,Lookup!$B$2:$B$5)</f>
        <v>0.08</v>
      </c>
      <c r="O46">
        <f>K46*N46</f>
        <v>1.6136000000000001</v>
      </c>
      <c r="P46">
        <f>K46-M46+O46</f>
        <v>19.766600000000004</v>
      </c>
    </row>
    <row r="47" spans="1:16">
      <c r="A47">
        <v>46</v>
      </c>
      <c r="B47" t="s">
        <v>81</v>
      </c>
      <c r="C47" t="s">
        <v>31</v>
      </c>
      <c r="D47">
        <v>2009</v>
      </c>
      <c r="E47" t="s">
        <v>48</v>
      </c>
      <c r="F47" t="s">
        <v>19</v>
      </c>
      <c r="G47">
        <v>2.77</v>
      </c>
      <c r="H47">
        <v>3.96</v>
      </c>
      <c r="I47">
        <v>0.77</v>
      </c>
      <c r="J47">
        <v>11.9</v>
      </c>
      <c r="K47">
        <f>SUM(G47:J47)</f>
        <v>19.399999999999999</v>
      </c>
      <c r="L47">
        <f>IF(K47&gt;20,10%,5%)</f>
        <v>0.05</v>
      </c>
      <c r="M47">
        <f>K47*L47</f>
        <v>0.97</v>
      </c>
      <c r="N47">
        <f>LOOKUP(K47,Lookup!$A$2:$A$5,Lookup!$B$2:$B$5)</f>
        <v>0.1</v>
      </c>
      <c r="O47">
        <f>K47*N47</f>
        <v>1.94</v>
      </c>
      <c r="P47">
        <f>K47-M47+O47</f>
        <v>20.37</v>
      </c>
    </row>
    <row r="48" spans="1:16">
      <c r="A48">
        <v>47</v>
      </c>
      <c r="B48" t="s">
        <v>82</v>
      </c>
      <c r="C48" t="s">
        <v>83</v>
      </c>
      <c r="D48">
        <v>1996</v>
      </c>
      <c r="E48" t="s">
        <v>2</v>
      </c>
      <c r="F48" t="s">
        <v>19</v>
      </c>
      <c r="G48">
        <v>2.85</v>
      </c>
      <c r="H48">
        <v>1.91</v>
      </c>
      <c r="I48">
        <v>0.23</v>
      </c>
      <c r="J48">
        <v>11.89</v>
      </c>
      <c r="K48">
        <f>SUM(G48:J48)</f>
        <v>16.880000000000003</v>
      </c>
      <c r="L48">
        <f>IF(K48&gt;20,10%,5%)</f>
        <v>0.05</v>
      </c>
      <c r="M48">
        <f>K48*L48</f>
        <v>0.84400000000000019</v>
      </c>
      <c r="N48">
        <f>LOOKUP(K48,Lookup!$A$2:$A$5,Lookup!$B$2:$B$5)</f>
        <v>0.1</v>
      </c>
      <c r="O48">
        <f>K48*N48</f>
        <v>1.6880000000000004</v>
      </c>
      <c r="P48">
        <f>K48-M48+O48</f>
        <v>17.724</v>
      </c>
    </row>
    <row r="49" spans="1:16">
      <c r="A49">
        <v>48</v>
      </c>
      <c r="B49" t="s">
        <v>84</v>
      </c>
      <c r="C49" t="s">
        <v>51</v>
      </c>
      <c r="D49">
        <v>2004</v>
      </c>
      <c r="E49" t="s">
        <v>23</v>
      </c>
      <c r="F49" t="s">
        <v>64</v>
      </c>
      <c r="G49">
        <v>0.01</v>
      </c>
      <c r="H49">
        <v>1.1000000000000001</v>
      </c>
      <c r="I49">
        <v>7.53</v>
      </c>
      <c r="J49">
        <v>11.66</v>
      </c>
      <c r="K49">
        <f>SUM(G49:J49)</f>
        <v>20.3</v>
      </c>
      <c r="L49">
        <f>IF(K49&gt;20,10%,5%)</f>
        <v>0.1</v>
      </c>
      <c r="M49">
        <f>K49*L49</f>
        <v>2.0300000000000002</v>
      </c>
      <c r="N49">
        <f>LOOKUP(K49,Lookup!$A$2:$A$5,Lookup!$B$2:$B$5)</f>
        <v>0.08</v>
      </c>
      <c r="O49">
        <f>K49*N49</f>
        <v>1.6240000000000001</v>
      </c>
      <c r="P49">
        <f>K49-M49+O49</f>
        <v>19.893999999999998</v>
      </c>
    </row>
    <row r="50" spans="1:16">
      <c r="A50">
        <v>49</v>
      </c>
      <c r="B50" t="s">
        <v>85</v>
      </c>
      <c r="C50" t="s">
        <v>17</v>
      </c>
      <c r="D50">
        <v>2007</v>
      </c>
      <c r="E50" t="s">
        <v>2</v>
      </c>
      <c r="F50" t="s">
        <v>19</v>
      </c>
      <c r="G50">
        <v>3.4</v>
      </c>
      <c r="H50">
        <v>1.2</v>
      </c>
      <c r="I50">
        <v>0.76</v>
      </c>
      <c r="J50">
        <v>11.52</v>
      </c>
      <c r="K50">
        <f>SUM(G50:J50)</f>
        <v>16.88</v>
      </c>
      <c r="L50">
        <f>IF(K50&gt;20,10%,5%)</f>
        <v>0.05</v>
      </c>
      <c r="M50">
        <f>K50*L50</f>
        <v>0.84399999999999997</v>
      </c>
      <c r="N50">
        <f>LOOKUP(K50,Lookup!$A$2:$A$5,Lookup!$B$2:$B$5)</f>
        <v>0.1</v>
      </c>
      <c r="O50">
        <f>K50*N50</f>
        <v>1.6879999999999999</v>
      </c>
      <c r="P50">
        <f>K50-M50+O50</f>
        <v>17.723999999999997</v>
      </c>
    </row>
    <row r="51" spans="1:16">
      <c r="A51">
        <v>50</v>
      </c>
      <c r="B51" t="s">
        <v>86</v>
      </c>
      <c r="C51" t="s">
        <v>70</v>
      </c>
      <c r="D51">
        <v>2014</v>
      </c>
      <c r="E51" t="s">
        <v>27</v>
      </c>
      <c r="F51" t="s">
        <v>19</v>
      </c>
      <c r="G51">
        <v>3.37</v>
      </c>
      <c r="H51">
        <v>3.08</v>
      </c>
      <c r="I51">
        <v>0.65</v>
      </c>
      <c r="J51">
        <v>11.33</v>
      </c>
      <c r="K51">
        <f>SUM(G51:J51)</f>
        <v>18.43</v>
      </c>
      <c r="L51">
        <f>IF(K51&gt;20,10%,5%)</f>
        <v>0.05</v>
      </c>
      <c r="M51">
        <f>K51*L51</f>
        <v>0.92149999999999999</v>
      </c>
      <c r="N51">
        <f>LOOKUP(K51,Lookup!$A$2:$A$5,Lookup!$B$2:$B$5)</f>
        <v>0.1</v>
      </c>
      <c r="O51">
        <f>K51*N51</f>
        <v>1.843</v>
      </c>
      <c r="P51">
        <f>K51-M51+O51</f>
        <v>19.351499999999998</v>
      </c>
    </row>
    <row r="52" spans="1:16">
      <c r="A52">
        <v>51</v>
      </c>
      <c r="B52" t="s">
        <v>87</v>
      </c>
      <c r="C52" t="s">
        <v>26</v>
      </c>
      <c r="D52">
        <v>1992</v>
      </c>
      <c r="E52" t="s">
        <v>88</v>
      </c>
      <c r="F52" t="s">
        <v>19</v>
      </c>
      <c r="G52">
        <v>2.04</v>
      </c>
      <c r="H52">
        <v>2.69</v>
      </c>
      <c r="I52">
        <v>0.28999999999999998</v>
      </c>
      <c r="J52">
        <v>11.18</v>
      </c>
      <c r="K52">
        <f>SUM(G52:J52)</f>
        <v>16.2</v>
      </c>
      <c r="L52">
        <f>IF(K52&gt;20,10%,5%)</f>
        <v>0.05</v>
      </c>
      <c r="M52">
        <f>K52*L52</f>
        <v>0.81</v>
      </c>
      <c r="N52">
        <f>LOOKUP(K52,Lookup!$A$2:$A$5,Lookup!$B$2:$B$5)</f>
        <v>0.1</v>
      </c>
      <c r="O52">
        <f>K52*N52</f>
        <v>1.62</v>
      </c>
      <c r="P52">
        <f>K52-M52+O52</f>
        <v>17.009999999999998</v>
      </c>
    </row>
    <row r="53" spans="1:16">
      <c r="A53">
        <v>52</v>
      </c>
      <c r="B53" t="s">
        <v>89</v>
      </c>
      <c r="C53" t="s">
        <v>44</v>
      </c>
      <c r="D53">
        <v>2008</v>
      </c>
      <c r="E53" t="s">
        <v>48</v>
      </c>
      <c r="F53" t="s">
        <v>49</v>
      </c>
      <c r="G53">
        <v>3.1</v>
      </c>
      <c r="H53">
        <v>0.14000000000000001</v>
      </c>
      <c r="I53">
        <v>1.03</v>
      </c>
      <c r="J53">
        <v>11.02</v>
      </c>
      <c r="K53">
        <f>SUM(G53:J53)</f>
        <v>15.29</v>
      </c>
      <c r="L53">
        <f>IF(K53&gt;20,10%,5%)</f>
        <v>0.05</v>
      </c>
      <c r="M53">
        <f>K53*L53</f>
        <v>0.76449999999999996</v>
      </c>
      <c r="N53">
        <f>LOOKUP(K53,Lookup!$A$2:$A$5,Lookup!$B$2:$B$5)</f>
        <v>0.1</v>
      </c>
      <c r="O53">
        <f>K53*N53</f>
        <v>1.5289999999999999</v>
      </c>
      <c r="P53">
        <f>K53-M53+O53</f>
        <v>16.054499999999997</v>
      </c>
    </row>
    <row r="54" spans="1:16">
      <c r="A54">
        <v>53</v>
      </c>
      <c r="B54" t="s">
        <v>90</v>
      </c>
      <c r="C54" t="s">
        <v>91</v>
      </c>
      <c r="D54">
        <v>1997</v>
      </c>
      <c r="E54" t="s">
        <v>23</v>
      </c>
      <c r="F54" t="s">
        <v>64</v>
      </c>
      <c r="G54">
        <v>3.87</v>
      </c>
      <c r="H54">
        <v>2.54</v>
      </c>
      <c r="I54">
        <v>0.52</v>
      </c>
      <c r="J54">
        <v>10.95</v>
      </c>
      <c r="K54">
        <f>SUM(G54:J54)</f>
        <v>17.88</v>
      </c>
      <c r="L54">
        <f>IF(K54&gt;20,10%,5%)</f>
        <v>0.05</v>
      </c>
      <c r="M54">
        <f>K54*L54</f>
        <v>0.89400000000000002</v>
      </c>
      <c r="N54">
        <f>LOOKUP(K54,Lookup!$A$2:$A$5,Lookup!$B$2:$B$5)</f>
        <v>0.1</v>
      </c>
      <c r="O54">
        <f>K54*N54</f>
        <v>1.788</v>
      </c>
      <c r="P54">
        <f>K54-M54+O54</f>
        <v>18.774000000000001</v>
      </c>
    </row>
    <row r="55" spans="1:16">
      <c r="A55">
        <v>54</v>
      </c>
      <c r="B55" t="s">
        <v>92</v>
      </c>
      <c r="C55" t="s">
        <v>70</v>
      </c>
      <c r="D55">
        <v>2011</v>
      </c>
      <c r="E55" t="s">
        <v>2</v>
      </c>
      <c r="F55" t="s">
        <v>19</v>
      </c>
      <c r="G55">
        <v>2.99</v>
      </c>
      <c r="H55">
        <v>2.13</v>
      </c>
      <c r="I55">
        <v>0.78</v>
      </c>
      <c r="J55">
        <v>10.79</v>
      </c>
      <c r="K55">
        <f>SUM(G55:J55)</f>
        <v>16.689999999999998</v>
      </c>
      <c r="L55">
        <f>IF(K55&gt;20,10%,5%)</f>
        <v>0.05</v>
      </c>
      <c r="M55">
        <f>K55*L55</f>
        <v>0.83449999999999991</v>
      </c>
      <c r="N55">
        <f>LOOKUP(K55,Lookup!$A$2:$A$5,Lookup!$B$2:$B$5)</f>
        <v>0.1</v>
      </c>
      <c r="O55">
        <f>K55*N55</f>
        <v>1.6689999999999998</v>
      </c>
      <c r="P55">
        <f>K55-M55+O55</f>
        <v>17.524499999999996</v>
      </c>
    </row>
    <row r="56" spans="1:16">
      <c r="A56">
        <v>55</v>
      </c>
      <c r="B56" t="s">
        <v>93</v>
      </c>
      <c r="C56" t="s">
        <v>47</v>
      </c>
      <c r="D56">
        <v>2010</v>
      </c>
      <c r="E56" t="s">
        <v>23</v>
      </c>
      <c r="F56" t="s">
        <v>64</v>
      </c>
      <c r="G56">
        <v>4.88</v>
      </c>
      <c r="H56">
        <v>0.81</v>
      </c>
      <c r="I56">
        <v>2.12</v>
      </c>
      <c r="J56">
        <v>10.77</v>
      </c>
      <c r="K56">
        <f>SUM(G56:J56)</f>
        <v>18.579999999999998</v>
      </c>
      <c r="L56">
        <f>IF(K56&gt;20,10%,5%)</f>
        <v>0.05</v>
      </c>
      <c r="M56">
        <f>K56*L56</f>
        <v>0.92899999999999994</v>
      </c>
      <c r="N56">
        <f>LOOKUP(K56,Lookup!$A$2:$A$5,Lookup!$B$2:$B$5)</f>
        <v>0.1</v>
      </c>
      <c r="O56">
        <f>K56*N56</f>
        <v>1.8579999999999999</v>
      </c>
      <c r="P56">
        <f>K56-M56+O56</f>
        <v>19.509</v>
      </c>
    </row>
    <row r="57" spans="1:16">
      <c r="A57">
        <v>56</v>
      </c>
      <c r="B57" t="s">
        <v>74</v>
      </c>
      <c r="C57" t="s">
        <v>47</v>
      </c>
      <c r="D57">
        <v>2009</v>
      </c>
      <c r="E57" t="s">
        <v>36</v>
      </c>
      <c r="F57" t="s">
        <v>66</v>
      </c>
      <c r="G57">
        <v>3.69</v>
      </c>
      <c r="H57">
        <v>0.38</v>
      </c>
      <c r="I57">
        <v>1.63</v>
      </c>
      <c r="J57">
        <v>10.69</v>
      </c>
      <c r="K57">
        <f>SUM(G57:J57)</f>
        <v>16.39</v>
      </c>
      <c r="L57">
        <f>IF(K57&gt;20,10%,5%)</f>
        <v>0.05</v>
      </c>
      <c r="M57">
        <f>K57*L57</f>
        <v>0.81950000000000012</v>
      </c>
      <c r="N57">
        <f>LOOKUP(K57,Lookup!$A$2:$A$5,Lookup!$B$2:$B$5)</f>
        <v>0.1</v>
      </c>
      <c r="O57">
        <f>K57*N57</f>
        <v>1.6390000000000002</v>
      </c>
      <c r="P57">
        <f>K57-M57+O57</f>
        <v>17.209500000000002</v>
      </c>
    </row>
    <row r="58" spans="1:16">
      <c r="A58">
        <v>57</v>
      </c>
      <c r="B58" t="s">
        <v>89</v>
      </c>
      <c r="C58" t="s">
        <v>47</v>
      </c>
      <c r="D58">
        <v>2008</v>
      </c>
      <c r="E58" t="s">
        <v>48</v>
      </c>
      <c r="F58" t="s">
        <v>49</v>
      </c>
      <c r="G58">
        <v>3.76</v>
      </c>
      <c r="H58">
        <v>0.44</v>
      </c>
      <c r="I58">
        <v>1.62</v>
      </c>
      <c r="J58">
        <v>10.57</v>
      </c>
      <c r="K58">
        <f>SUM(G58:J58)</f>
        <v>16.39</v>
      </c>
      <c r="L58">
        <f>IF(K58&gt;20,10%,5%)</f>
        <v>0.05</v>
      </c>
      <c r="M58">
        <f>K58*L58</f>
        <v>0.81950000000000012</v>
      </c>
      <c r="N58">
        <f>LOOKUP(K58,Lookup!$A$2:$A$5,Lookup!$B$2:$B$5)</f>
        <v>0.1</v>
      </c>
      <c r="O58">
        <f>K58*N58</f>
        <v>1.6390000000000002</v>
      </c>
      <c r="P58">
        <f>K58-M58+O58</f>
        <v>17.209500000000002</v>
      </c>
    </row>
    <row r="59" spans="1:16">
      <c r="A59">
        <v>58</v>
      </c>
      <c r="B59" t="s">
        <v>94</v>
      </c>
      <c r="C59" t="s">
        <v>53</v>
      </c>
      <c r="D59">
        <v>1993</v>
      </c>
      <c r="E59" t="s">
        <v>2</v>
      </c>
      <c r="F59" t="s">
        <v>19</v>
      </c>
      <c r="G59">
        <v>2.15</v>
      </c>
      <c r="H59">
        <v>2.12</v>
      </c>
      <c r="I59">
        <v>0.28999999999999998</v>
      </c>
      <c r="J59">
        <v>10.55</v>
      </c>
      <c r="K59">
        <f>SUM(G59:J59)</f>
        <v>15.11</v>
      </c>
      <c r="L59">
        <f>IF(K59&gt;20,10%,5%)</f>
        <v>0.05</v>
      </c>
      <c r="M59">
        <f>K59*L59</f>
        <v>0.75550000000000006</v>
      </c>
      <c r="N59">
        <f>LOOKUP(K59,Lookup!$A$2:$A$5,Lookup!$B$2:$B$5)</f>
        <v>0.1</v>
      </c>
      <c r="O59">
        <f>K59*N59</f>
        <v>1.5110000000000001</v>
      </c>
      <c r="P59">
        <f>K59-M59+O59</f>
        <v>15.865500000000001</v>
      </c>
    </row>
    <row r="60" spans="1:16">
      <c r="A60">
        <v>59</v>
      </c>
      <c r="B60" t="s">
        <v>95</v>
      </c>
      <c r="C60" t="s">
        <v>60</v>
      </c>
      <c r="D60">
        <v>2004</v>
      </c>
      <c r="E60" t="s">
        <v>27</v>
      </c>
      <c r="F60" t="s">
        <v>19</v>
      </c>
      <c r="G60">
        <v>2.65</v>
      </c>
      <c r="H60">
        <v>3.15</v>
      </c>
      <c r="I60">
        <v>0.35</v>
      </c>
      <c r="J60">
        <v>10.49</v>
      </c>
      <c r="K60">
        <f>SUM(G60:J60)</f>
        <v>16.64</v>
      </c>
      <c r="L60">
        <f>IF(K60&gt;20,10%,5%)</f>
        <v>0.05</v>
      </c>
      <c r="M60">
        <f>K60*L60</f>
        <v>0.83200000000000007</v>
      </c>
      <c r="N60">
        <f>LOOKUP(K60,Lookup!$A$2:$A$5,Lookup!$B$2:$B$5)</f>
        <v>0.1</v>
      </c>
      <c r="O60">
        <f>K60*N60</f>
        <v>1.6640000000000001</v>
      </c>
      <c r="P60">
        <f>K60-M60+O60</f>
        <v>17.472000000000001</v>
      </c>
    </row>
    <row r="61" spans="1:16">
      <c r="A61">
        <v>60</v>
      </c>
      <c r="B61" t="s">
        <v>82</v>
      </c>
      <c r="C61" t="s">
        <v>31</v>
      </c>
      <c r="D61">
        <v>2004</v>
      </c>
      <c r="E61" t="s">
        <v>2</v>
      </c>
      <c r="F61" t="s">
        <v>19</v>
      </c>
      <c r="G61">
        <v>3.11</v>
      </c>
      <c r="H61">
        <v>1.25</v>
      </c>
      <c r="I61">
        <v>0.98</v>
      </c>
      <c r="J61">
        <v>10.42</v>
      </c>
      <c r="K61">
        <f>SUM(G61:J61)</f>
        <v>15.76</v>
      </c>
      <c r="L61">
        <f>IF(K61&gt;20,10%,5%)</f>
        <v>0.05</v>
      </c>
      <c r="M61">
        <f>K61*L61</f>
        <v>0.78800000000000003</v>
      </c>
      <c r="N61">
        <f>LOOKUP(K61,Lookup!$A$2:$A$5,Lookup!$B$2:$B$5)</f>
        <v>0.1</v>
      </c>
      <c r="O61">
        <f>K61*N61</f>
        <v>1.5760000000000001</v>
      </c>
      <c r="P61">
        <f>K61-M61+O61</f>
        <v>16.547999999999998</v>
      </c>
    </row>
    <row r="62" spans="1:16">
      <c r="A62">
        <v>61</v>
      </c>
      <c r="B62" t="s">
        <v>96</v>
      </c>
      <c r="C62" t="s">
        <v>17</v>
      </c>
      <c r="D62">
        <v>2011</v>
      </c>
      <c r="E62" t="s">
        <v>33</v>
      </c>
      <c r="F62" t="s">
        <v>97</v>
      </c>
      <c r="G62">
        <v>3.15</v>
      </c>
      <c r="H62">
        <v>0</v>
      </c>
      <c r="I62">
        <v>1.07</v>
      </c>
      <c r="J62">
        <v>10.26</v>
      </c>
      <c r="K62">
        <f>SUM(G62:J62)</f>
        <v>14.48</v>
      </c>
      <c r="L62">
        <f>IF(K62&gt;20,10%,5%)</f>
        <v>0.05</v>
      </c>
      <c r="M62">
        <f>K62*L62</f>
        <v>0.72400000000000009</v>
      </c>
      <c r="N62">
        <f>LOOKUP(K62,Lookup!$A$2:$A$5,Lookup!$B$2:$B$5)</f>
        <v>0.1</v>
      </c>
      <c r="O62">
        <f>K62*N62</f>
        <v>1.4480000000000002</v>
      </c>
      <c r="P62">
        <f>K62-M62+O62</f>
        <v>15.204000000000001</v>
      </c>
    </row>
    <row r="63" spans="1:16">
      <c r="A63">
        <v>62</v>
      </c>
      <c r="B63" t="s">
        <v>98</v>
      </c>
      <c r="C63" t="s">
        <v>44</v>
      </c>
      <c r="D63">
        <v>2013</v>
      </c>
      <c r="E63" t="s">
        <v>36</v>
      </c>
      <c r="F63" t="s">
        <v>66</v>
      </c>
      <c r="G63">
        <v>2.63</v>
      </c>
      <c r="H63">
        <v>0.04</v>
      </c>
      <c r="I63">
        <v>0.82</v>
      </c>
      <c r="J63">
        <v>10.210000000000001</v>
      </c>
      <c r="K63">
        <f>SUM(G63:J63)</f>
        <v>13.700000000000001</v>
      </c>
      <c r="L63">
        <f>IF(K63&gt;20,10%,5%)</f>
        <v>0.05</v>
      </c>
      <c r="M63">
        <f>K63*L63</f>
        <v>0.68500000000000005</v>
      </c>
      <c r="N63">
        <f>LOOKUP(K63,Lookup!$A$2:$A$5,Lookup!$B$2:$B$5)</f>
        <v>0.1</v>
      </c>
      <c r="O63">
        <f>K63*N63</f>
        <v>1.37</v>
      </c>
      <c r="P63">
        <f>K63-M63+O63</f>
        <v>14.385000000000002</v>
      </c>
    </row>
    <row r="64" spans="1:16">
      <c r="A64">
        <v>63</v>
      </c>
      <c r="B64" t="s">
        <v>99</v>
      </c>
      <c r="C64" t="s">
        <v>44</v>
      </c>
      <c r="D64">
        <v>2010</v>
      </c>
      <c r="E64" t="s">
        <v>36</v>
      </c>
      <c r="F64" t="s">
        <v>45</v>
      </c>
      <c r="G64">
        <v>1.98</v>
      </c>
      <c r="H64">
        <v>0.08</v>
      </c>
      <c r="I64">
        <v>0.78</v>
      </c>
      <c r="J64">
        <v>9.8800000000000008</v>
      </c>
      <c r="K64">
        <f>SUM(G64:J64)</f>
        <v>12.72</v>
      </c>
      <c r="L64">
        <f>IF(K64&gt;20,10%,5%)</f>
        <v>0.05</v>
      </c>
      <c r="M64">
        <f>K64*L64</f>
        <v>0.63600000000000012</v>
      </c>
      <c r="N64">
        <f>LOOKUP(K64,Lookup!$A$2:$A$5,Lookup!$B$2:$B$5)</f>
        <v>0.1</v>
      </c>
      <c r="O64">
        <f>K64*N64</f>
        <v>1.2720000000000002</v>
      </c>
      <c r="P64">
        <f>K64-M64+O64</f>
        <v>13.356</v>
      </c>
    </row>
    <row r="65" spans="1:16">
      <c r="A65">
        <v>64</v>
      </c>
      <c r="B65" t="s">
        <v>100</v>
      </c>
      <c r="C65" t="s">
        <v>83</v>
      </c>
      <c r="D65">
        <v>1996</v>
      </c>
      <c r="E65" t="s">
        <v>23</v>
      </c>
      <c r="F65" t="s">
        <v>19</v>
      </c>
      <c r="G65">
        <v>1.94</v>
      </c>
      <c r="H65">
        <v>2.23</v>
      </c>
      <c r="I65">
        <v>0.15</v>
      </c>
      <c r="J65">
        <v>9.8699999999999992</v>
      </c>
      <c r="K65">
        <f>SUM(G65:J65)</f>
        <v>14.19</v>
      </c>
      <c r="L65">
        <f>IF(K65&gt;20,10%,5%)</f>
        <v>0.05</v>
      </c>
      <c r="M65">
        <f>K65*L65</f>
        <v>0.70950000000000002</v>
      </c>
      <c r="N65">
        <f>LOOKUP(K65,Lookup!$A$2:$A$5,Lookup!$B$2:$B$5)</f>
        <v>0.1</v>
      </c>
      <c r="O65">
        <f>K65*N65</f>
        <v>1.419</v>
      </c>
      <c r="P65">
        <f>K65-M65+O65</f>
        <v>14.8995</v>
      </c>
    </row>
    <row r="66" spans="1:16">
      <c r="A66">
        <v>65</v>
      </c>
      <c r="B66" t="s">
        <v>101</v>
      </c>
      <c r="C66" t="s">
        <v>70</v>
      </c>
      <c r="D66">
        <v>2012</v>
      </c>
      <c r="E66" t="s">
        <v>2</v>
      </c>
      <c r="F66" t="s">
        <v>19</v>
      </c>
      <c r="G66">
        <v>3.07</v>
      </c>
      <c r="H66">
        <v>2.4700000000000002</v>
      </c>
      <c r="I66">
        <v>0.63</v>
      </c>
      <c r="J66">
        <v>9.82</v>
      </c>
      <c r="K66">
        <f>SUM(G66:J66)</f>
        <v>15.99</v>
      </c>
      <c r="L66">
        <f>IF(K66&gt;20,10%,5%)</f>
        <v>0.05</v>
      </c>
      <c r="M66">
        <f>K66*L66</f>
        <v>0.7995000000000001</v>
      </c>
      <c r="N66">
        <f>LOOKUP(K66,Lookup!$A$2:$A$5,Lookup!$B$2:$B$5)</f>
        <v>0.1</v>
      </c>
      <c r="O66">
        <f>K66*N66</f>
        <v>1.5990000000000002</v>
      </c>
      <c r="P66">
        <f>K66-M66+O66</f>
        <v>16.7895</v>
      </c>
    </row>
    <row r="67" spans="1:16">
      <c r="A67">
        <v>66</v>
      </c>
      <c r="B67" t="s">
        <v>102</v>
      </c>
      <c r="C67" t="s">
        <v>44</v>
      </c>
      <c r="D67">
        <v>2012</v>
      </c>
      <c r="E67" t="s">
        <v>36</v>
      </c>
      <c r="F67" t="s">
        <v>45</v>
      </c>
      <c r="G67">
        <v>2.36</v>
      </c>
      <c r="H67">
        <v>0.04</v>
      </c>
      <c r="I67">
        <v>0.73</v>
      </c>
      <c r="J67">
        <v>9.76</v>
      </c>
      <c r="K67">
        <f>SUM(G67:J67)</f>
        <v>12.89</v>
      </c>
      <c r="L67">
        <f>IF(K67&gt;20,10%,5%)</f>
        <v>0.05</v>
      </c>
      <c r="M67">
        <f>K67*L67</f>
        <v>0.64450000000000007</v>
      </c>
      <c r="N67">
        <f>LOOKUP(K67,Lookup!$A$2:$A$5,Lookup!$B$2:$B$5)</f>
        <v>0.1</v>
      </c>
      <c r="O67">
        <f>K67*N67</f>
        <v>1.2890000000000001</v>
      </c>
      <c r="P67">
        <f>K67-M67+O67</f>
        <v>13.5345</v>
      </c>
    </row>
    <row r="68" spans="1:16">
      <c r="A68">
        <v>67</v>
      </c>
      <c r="B68" t="s">
        <v>103</v>
      </c>
      <c r="C68" t="s">
        <v>91</v>
      </c>
      <c r="D68">
        <v>1997</v>
      </c>
      <c r="E68" t="s">
        <v>27</v>
      </c>
      <c r="F68" t="s">
        <v>64</v>
      </c>
      <c r="G68">
        <v>2.4700000000000002</v>
      </c>
      <c r="H68">
        <v>3.28</v>
      </c>
      <c r="I68">
        <v>0.96</v>
      </c>
      <c r="J68">
        <v>9.7200000000000006</v>
      </c>
      <c r="K68">
        <f>SUM(G68:J68)</f>
        <v>16.43</v>
      </c>
      <c r="L68">
        <f>IF(K68&gt;20,10%,5%)</f>
        <v>0.05</v>
      </c>
      <c r="M68">
        <f>K68*L68</f>
        <v>0.82150000000000001</v>
      </c>
      <c r="N68">
        <f>LOOKUP(K68,Lookup!$A$2:$A$5,Lookup!$B$2:$B$5)</f>
        <v>0.1</v>
      </c>
      <c r="O68">
        <f>K68*N68</f>
        <v>1.643</v>
      </c>
      <c r="P68">
        <f>K68-M68+O68</f>
        <v>17.2515</v>
      </c>
    </row>
    <row r="69" spans="1:16">
      <c r="A69">
        <v>68</v>
      </c>
      <c r="B69" t="s">
        <v>98</v>
      </c>
      <c r="C69" t="s">
        <v>47</v>
      </c>
      <c r="D69">
        <v>2013</v>
      </c>
      <c r="E69" t="s">
        <v>36</v>
      </c>
      <c r="F69" t="s">
        <v>66</v>
      </c>
      <c r="G69">
        <v>3.73</v>
      </c>
      <c r="H69">
        <v>0.38</v>
      </c>
      <c r="I69">
        <v>1.38</v>
      </c>
      <c r="J69">
        <v>9.59</v>
      </c>
      <c r="K69">
        <f>SUM(G69:J69)</f>
        <v>15.08</v>
      </c>
      <c r="L69">
        <f>IF(K69&gt;20,10%,5%)</f>
        <v>0.05</v>
      </c>
      <c r="M69">
        <f>K69*L69</f>
        <v>0.754</v>
      </c>
      <c r="N69">
        <f>LOOKUP(K69,Lookup!$A$2:$A$5,Lookup!$B$2:$B$5)</f>
        <v>0.1</v>
      </c>
      <c r="O69">
        <f>K69*N69</f>
        <v>1.508</v>
      </c>
      <c r="P69">
        <f>K69-M69+O69</f>
        <v>15.834</v>
      </c>
    </row>
    <row r="70" spans="1:16">
      <c r="A70">
        <v>69</v>
      </c>
      <c r="B70" t="s">
        <v>104</v>
      </c>
      <c r="C70" t="s">
        <v>17</v>
      </c>
      <c r="D70">
        <v>2010</v>
      </c>
      <c r="E70" t="s">
        <v>33</v>
      </c>
      <c r="F70" t="s">
        <v>97</v>
      </c>
      <c r="G70">
        <v>2.89</v>
      </c>
      <c r="H70">
        <v>0.01</v>
      </c>
      <c r="I70">
        <v>0.78</v>
      </c>
      <c r="J70">
        <v>9.52</v>
      </c>
      <c r="K70">
        <f>SUM(G70:J70)</f>
        <v>13.2</v>
      </c>
      <c r="L70">
        <f>IF(K70&gt;20,10%,5%)</f>
        <v>0.05</v>
      </c>
      <c r="M70">
        <f>K70*L70</f>
        <v>0.66</v>
      </c>
      <c r="N70">
        <f>LOOKUP(K70,Lookup!$A$2:$A$5,Lookup!$B$2:$B$5)</f>
        <v>0.1</v>
      </c>
      <c r="O70">
        <f>K70*N70</f>
        <v>1.32</v>
      </c>
      <c r="P70">
        <f>K70-M70+O70</f>
        <v>13.86</v>
      </c>
    </row>
    <row r="71" spans="1:16">
      <c r="A71">
        <v>70</v>
      </c>
      <c r="B71" t="s">
        <v>105</v>
      </c>
      <c r="C71" t="s">
        <v>91</v>
      </c>
      <c r="D71">
        <v>1999</v>
      </c>
      <c r="E71" t="s">
        <v>23</v>
      </c>
      <c r="F71" t="s">
        <v>64</v>
      </c>
      <c r="G71">
        <v>3.42</v>
      </c>
      <c r="H71">
        <v>1.69</v>
      </c>
      <c r="I71">
        <v>0.5</v>
      </c>
      <c r="J71">
        <v>9.49</v>
      </c>
      <c r="K71">
        <f>SUM(G71:J71)</f>
        <v>15.1</v>
      </c>
      <c r="L71">
        <f>IF(K71&gt;20,10%,5%)</f>
        <v>0.05</v>
      </c>
      <c r="M71">
        <f>K71*L71</f>
        <v>0.755</v>
      </c>
      <c r="N71">
        <f>LOOKUP(K71,Lookup!$A$2:$A$5,Lookup!$B$2:$B$5)</f>
        <v>0.1</v>
      </c>
      <c r="O71">
        <f>K71*N71</f>
        <v>1.51</v>
      </c>
      <c r="P71">
        <f>K71-M71+O71</f>
        <v>15.854999999999999</v>
      </c>
    </row>
    <row r="72" spans="1:16">
      <c r="A72">
        <v>71</v>
      </c>
      <c r="B72" t="s">
        <v>106</v>
      </c>
      <c r="C72" t="s">
        <v>44</v>
      </c>
      <c r="D72">
        <v>2007</v>
      </c>
      <c r="E72" t="s">
        <v>36</v>
      </c>
      <c r="F72" t="s">
        <v>66</v>
      </c>
      <c r="G72">
        <v>2.38</v>
      </c>
      <c r="H72">
        <v>0.13</v>
      </c>
      <c r="I72">
        <v>0.9</v>
      </c>
      <c r="J72">
        <v>9.32</v>
      </c>
      <c r="K72">
        <f>SUM(G72:J72)</f>
        <v>12.73</v>
      </c>
      <c r="L72">
        <f>IF(K72&gt;20,10%,5%)</f>
        <v>0.05</v>
      </c>
      <c r="M72">
        <f>K72*L72</f>
        <v>0.63650000000000007</v>
      </c>
      <c r="N72">
        <f>LOOKUP(K72,Lookup!$A$2:$A$5,Lookup!$B$2:$B$5)</f>
        <v>0.1</v>
      </c>
      <c r="O72">
        <f>K72*N72</f>
        <v>1.2730000000000001</v>
      </c>
      <c r="P72">
        <f>K72-M72+O72</f>
        <v>13.3665</v>
      </c>
    </row>
    <row r="73" spans="1:16">
      <c r="A73">
        <v>72</v>
      </c>
      <c r="B73" t="s">
        <v>107</v>
      </c>
      <c r="C73" t="s">
        <v>53</v>
      </c>
      <c r="D73">
        <v>1994</v>
      </c>
      <c r="E73" t="s">
        <v>2</v>
      </c>
      <c r="F73" t="s">
        <v>19</v>
      </c>
      <c r="G73">
        <v>1.71</v>
      </c>
      <c r="H73">
        <v>3</v>
      </c>
      <c r="I73">
        <v>0.23</v>
      </c>
      <c r="J73">
        <v>9.3000000000000007</v>
      </c>
      <c r="K73">
        <f>SUM(G73:J73)</f>
        <v>14.240000000000002</v>
      </c>
      <c r="L73">
        <f>IF(K73&gt;20,10%,5%)</f>
        <v>0.05</v>
      </c>
      <c r="M73">
        <f>K73*L73</f>
        <v>0.71200000000000019</v>
      </c>
      <c r="N73">
        <f>LOOKUP(K73,Lookup!$A$2:$A$5,Lookup!$B$2:$B$5)</f>
        <v>0.1</v>
      </c>
      <c r="O73">
        <f>K73*N73</f>
        <v>1.4240000000000004</v>
      </c>
      <c r="P73">
        <f>K73-M73+O73</f>
        <v>14.952000000000002</v>
      </c>
    </row>
    <row r="74" spans="1:16">
      <c r="A74">
        <v>73</v>
      </c>
      <c r="B74" t="s">
        <v>108</v>
      </c>
      <c r="C74" t="s">
        <v>44</v>
      </c>
      <c r="D74">
        <v>2013</v>
      </c>
      <c r="E74" t="s">
        <v>33</v>
      </c>
      <c r="F74" t="s">
        <v>45</v>
      </c>
      <c r="G74">
        <v>2.83</v>
      </c>
      <c r="H74">
        <v>0.02</v>
      </c>
      <c r="I74">
        <v>0.77</v>
      </c>
      <c r="J74">
        <v>9.1999999999999993</v>
      </c>
      <c r="K74">
        <f>SUM(G74:J74)</f>
        <v>12.82</v>
      </c>
      <c r="L74">
        <f>IF(K74&gt;20,10%,5%)</f>
        <v>0.05</v>
      </c>
      <c r="M74">
        <f>K74*L74</f>
        <v>0.64100000000000001</v>
      </c>
      <c r="N74">
        <f>LOOKUP(K74,Lookup!$A$2:$A$5,Lookup!$B$2:$B$5)</f>
        <v>0.1</v>
      </c>
      <c r="O74">
        <f>K74*N74</f>
        <v>1.282</v>
      </c>
      <c r="P74">
        <f>K74-M74+O74</f>
        <v>13.461</v>
      </c>
    </row>
    <row r="75" spans="1:16">
      <c r="A75">
        <v>74</v>
      </c>
      <c r="B75" t="s">
        <v>109</v>
      </c>
      <c r="C75" t="s">
        <v>70</v>
      </c>
      <c r="D75">
        <v>2012</v>
      </c>
      <c r="E75" t="s">
        <v>38</v>
      </c>
      <c r="F75" t="s">
        <v>19</v>
      </c>
      <c r="G75">
        <v>2.3199999999999998</v>
      </c>
      <c r="H75">
        <v>4.3600000000000003</v>
      </c>
      <c r="I75">
        <v>0.41</v>
      </c>
      <c r="J75">
        <v>9.09</v>
      </c>
      <c r="K75">
        <f>SUM(G75:J75)</f>
        <v>16.18</v>
      </c>
      <c r="L75">
        <f>IF(K75&gt;20,10%,5%)</f>
        <v>0.05</v>
      </c>
      <c r="M75">
        <f>K75*L75</f>
        <v>0.80900000000000005</v>
      </c>
      <c r="N75">
        <f>LOOKUP(K75,Lookup!$A$2:$A$5,Lookup!$B$2:$B$5)</f>
        <v>0.1</v>
      </c>
      <c r="O75">
        <f>K75*N75</f>
        <v>1.6180000000000001</v>
      </c>
      <c r="P75">
        <f>K75-M75+O75</f>
        <v>16.989000000000001</v>
      </c>
    </row>
    <row r="76" spans="1:16">
      <c r="A76">
        <v>75</v>
      </c>
      <c r="B76" t="s">
        <v>110</v>
      </c>
      <c r="C76" t="s">
        <v>31</v>
      </c>
      <c r="D76">
        <v>2007</v>
      </c>
      <c r="E76" t="s">
        <v>33</v>
      </c>
      <c r="F76" t="s">
        <v>19</v>
      </c>
      <c r="G76">
        <v>1.88</v>
      </c>
      <c r="H76">
        <v>1.98</v>
      </c>
      <c r="I76">
        <v>0.7</v>
      </c>
      <c r="J76">
        <v>9.02</v>
      </c>
      <c r="K76">
        <f>SUM(G76:J76)</f>
        <v>13.579999999999998</v>
      </c>
      <c r="L76">
        <f>IF(K76&gt;20,10%,5%)</f>
        <v>0.05</v>
      </c>
      <c r="M76">
        <f>K76*L76</f>
        <v>0.67899999999999994</v>
      </c>
      <c r="N76">
        <f>LOOKUP(K76,Lookup!$A$2:$A$5,Lookup!$B$2:$B$5)</f>
        <v>0.1</v>
      </c>
      <c r="O76">
        <f>K76*N76</f>
        <v>1.3579999999999999</v>
      </c>
      <c r="P76">
        <f>K76-M76+O76</f>
        <v>14.258999999999999</v>
      </c>
    </row>
    <row r="77" spans="1:16">
      <c r="A77">
        <v>76</v>
      </c>
      <c r="B77" t="s">
        <v>111</v>
      </c>
      <c r="C77" t="s">
        <v>44</v>
      </c>
      <c r="D77">
        <v>2011</v>
      </c>
      <c r="E77" t="s">
        <v>27</v>
      </c>
      <c r="F77" t="s">
        <v>112</v>
      </c>
      <c r="G77">
        <v>2.86</v>
      </c>
      <c r="H77">
        <v>0.1</v>
      </c>
      <c r="I77">
        <v>0.85</v>
      </c>
      <c r="J77">
        <v>8.84</v>
      </c>
      <c r="K77">
        <f>SUM(G77:J77)</f>
        <v>12.65</v>
      </c>
      <c r="L77">
        <f>IF(K77&gt;20,10%,5%)</f>
        <v>0.05</v>
      </c>
      <c r="M77">
        <f>K77*L77</f>
        <v>0.63250000000000006</v>
      </c>
      <c r="N77">
        <f>LOOKUP(K77,Lookup!$A$2:$A$5,Lookup!$B$2:$B$5)</f>
        <v>0.1</v>
      </c>
      <c r="O77">
        <f>K77*N77</f>
        <v>1.2650000000000001</v>
      </c>
      <c r="P77">
        <f>K77-M77+O77</f>
        <v>13.282500000000001</v>
      </c>
    </row>
    <row r="78" spans="1:16">
      <c r="A78">
        <v>77</v>
      </c>
      <c r="B78" t="s">
        <v>113</v>
      </c>
      <c r="C78" t="s">
        <v>53</v>
      </c>
      <c r="D78">
        <v>1992</v>
      </c>
      <c r="E78" t="s">
        <v>23</v>
      </c>
      <c r="F78" t="s">
        <v>19</v>
      </c>
      <c r="G78">
        <v>1.24</v>
      </c>
      <c r="H78">
        <v>3.81</v>
      </c>
      <c r="I78">
        <v>0.18</v>
      </c>
      <c r="J78">
        <v>8.76</v>
      </c>
      <c r="K78">
        <f>SUM(G78:J78)</f>
        <v>13.989999999999998</v>
      </c>
      <c r="L78">
        <f>IF(K78&gt;20,10%,5%)</f>
        <v>0.05</v>
      </c>
      <c r="M78">
        <f>K78*L78</f>
        <v>0.69950000000000001</v>
      </c>
      <c r="N78">
        <f>LOOKUP(K78,Lookup!$A$2:$A$5,Lookup!$B$2:$B$5)</f>
        <v>0.1</v>
      </c>
      <c r="O78">
        <f>K78*N78</f>
        <v>1.399</v>
      </c>
      <c r="P78">
        <f>K78-M78+O78</f>
        <v>14.689499999999999</v>
      </c>
    </row>
    <row r="79" spans="1:16">
      <c r="A79">
        <v>78</v>
      </c>
      <c r="B79" t="s">
        <v>114</v>
      </c>
      <c r="C79" t="s">
        <v>72</v>
      </c>
      <c r="D79">
        <v>2015</v>
      </c>
      <c r="E79" t="s">
        <v>18</v>
      </c>
      <c r="F79" t="s">
        <v>115</v>
      </c>
      <c r="G79">
        <v>6.06</v>
      </c>
      <c r="H79">
        <v>0.06</v>
      </c>
      <c r="I79">
        <v>1.26</v>
      </c>
      <c r="J79">
        <v>8.49</v>
      </c>
      <c r="K79">
        <f>SUM(G79:J79)</f>
        <v>15.87</v>
      </c>
      <c r="L79">
        <f>IF(K79&gt;20,10%,5%)</f>
        <v>0.05</v>
      </c>
      <c r="M79">
        <f>K79*L79</f>
        <v>0.79349999999999998</v>
      </c>
      <c r="N79">
        <f>LOOKUP(K79,Lookup!$A$2:$A$5,Lookup!$B$2:$B$5)</f>
        <v>0.1</v>
      </c>
      <c r="O79">
        <f>K79*N79</f>
        <v>1.587</v>
      </c>
      <c r="P79">
        <f>K79-M79+O79</f>
        <v>16.663499999999999</v>
      </c>
    </row>
    <row r="80" spans="1:16">
      <c r="A80">
        <v>79</v>
      </c>
      <c r="B80" t="s">
        <v>116</v>
      </c>
      <c r="C80" t="s">
        <v>17</v>
      </c>
      <c r="D80">
        <v>2010</v>
      </c>
      <c r="E80" t="s">
        <v>33</v>
      </c>
      <c r="F80" t="s">
        <v>19</v>
      </c>
      <c r="G80">
        <v>3.53</v>
      </c>
      <c r="H80">
        <v>2.4900000000000002</v>
      </c>
      <c r="I80">
        <v>0.68</v>
      </c>
      <c r="J80">
        <v>8.49</v>
      </c>
      <c r="K80">
        <f>SUM(G80:J80)</f>
        <v>15.19</v>
      </c>
      <c r="L80">
        <f>IF(K80&gt;20,10%,5%)</f>
        <v>0.05</v>
      </c>
      <c r="M80">
        <f>K80*L80</f>
        <v>0.75950000000000006</v>
      </c>
      <c r="N80">
        <f>LOOKUP(K80,Lookup!$A$2:$A$5,Lookup!$B$2:$B$5)</f>
        <v>0.1</v>
      </c>
      <c r="O80">
        <f>K80*N80</f>
        <v>1.5190000000000001</v>
      </c>
      <c r="P80">
        <f>K80-M80+O80</f>
        <v>15.949499999999999</v>
      </c>
    </row>
    <row r="81" spans="1:16">
      <c r="A81">
        <v>80</v>
      </c>
      <c r="B81" t="s">
        <v>117</v>
      </c>
      <c r="C81" t="s">
        <v>118</v>
      </c>
      <c r="D81">
        <v>2004</v>
      </c>
      <c r="E81" t="s">
        <v>36</v>
      </c>
      <c r="F81" t="s">
        <v>45</v>
      </c>
      <c r="G81">
        <v>1.53</v>
      </c>
      <c r="H81">
        <v>0.05</v>
      </c>
      <c r="I81">
        <v>0.08</v>
      </c>
      <c r="J81">
        <v>8.49</v>
      </c>
      <c r="K81">
        <f>SUM(G81:J81)</f>
        <v>10.15</v>
      </c>
      <c r="L81">
        <f>IF(K81&gt;20,10%,5%)</f>
        <v>0.05</v>
      </c>
      <c r="M81">
        <f>K81*L81</f>
        <v>0.50750000000000006</v>
      </c>
      <c r="N81">
        <f>LOOKUP(K81,Lookup!$A$2:$A$5,Lookup!$B$2:$B$5)</f>
        <v>0.1</v>
      </c>
      <c r="O81">
        <f>K81*N81</f>
        <v>1.0150000000000001</v>
      </c>
      <c r="P81">
        <f>K81-M81+O81</f>
        <v>10.657500000000001</v>
      </c>
    </row>
    <row r="82" spans="1:16">
      <c r="A82">
        <v>81</v>
      </c>
      <c r="B82" t="s">
        <v>119</v>
      </c>
      <c r="C82" t="s">
        <v>17</v>
      </c>
      <c r="D82">
        <v>2007</v>
      </c>
      <c r="E82" t="s">
        <v>33</v>
      </c>
      <c r="F82" t="s">
        <v>19</v>
      </c>
      <c r="G82">
        <v>2.2999999999999998</v>
      </c>
      <c r="H82">
        <v>1.58</v>
      </c>
      <c r="I82">
        <v>0.73</v>
      </c>
      <c r="J82">
        <v>8.42</v>
      </c>
      <c r="K82">
        <f>SUM(G82:J82)</f>
        <v>13.03</v>
      </c>
      <c r="L82">
        <f>IF(K82&gt;20,10%,5%)</f>
        <v>0.05</v>
      </c>
      <c r="M82">
        <f>K82*L82</f>
        <v>0.65149999999999997</v>
      </c>
      <c r="N82">
        <f>LOOKUP(K82,Lookup!$A$2:$A$5,Lookup!$B$2:$B$5)</f>
        <v>0.1</v>
      </c>
      <c r="O82">
        <f>K82*N82</f>
        <v>1.3029999999999999</v>
      </c>
      <c r="P82">
        <f>K82-M82+O82</f>
        <v>13.6815</v>
      </c>
    </row>
    <row r="83" spans="1:16">
      <c r="A83">
        <v>82</v>
      </c>
      <c r="B83" t="s">
        <v>120</v>
      </c>
      <c r="C83" t="s">
        <v>31</v>
      </c>
      <c r="D83">
        <v>2012</v>
      </c>
      <c r="E83" t="s">
        <v>27</v>
      </c>
      <c r="F83" t="s">
        <v>19</v>
      </c>
      <c r="G83">
        <v>1.86</v>
      </c>
      <c r="H83">
        <v>3.14</v>
      </c>
      <c r="I83">
        <v>0.43</v>
      </c>
      <c r="J83">
        <v>8.33</v>
      </c>
      <c r="K83">
        <f>SUM(G83:J83)</f>
        <v>13.76</v>
      </c>
      <c r="L83">
        <f>IF(K83&gt;20,10%,5%)</f>
        <v>0.05</v>
      </c>
      <c r="M83">
        <f>K83*L83</f>
        <v>0.68800000000000006</v>
      </c>
      <c r="N83">
        <f>LOOKUP(K83,Lookup!$A$2:$A$5,Lookup!$B$2:$B$5)</f>
        <v>0.1</v>
      </c>
      <c r="O83">
        <f>K83*N83</f>
        <v>1.3760000000000001</v>
      </c>
      <c r="P83">
        <f>K83-M83+O83</f>
        <v>14.447999999999999</v>
      </c>
    </row>
    <row r="84" spans="1:16">
      <c r="A84">
        <v>83</v>
      </c>
      <c r="B84" t="s">
        <v>121</v>
      </c>
      <c r="C84" t="s">
        <v>47</v>
      </c>
      <c r="D84">
        <v>2012</v>
      </c>
      <c r="E84" t="s">
        <v>48</v>
      </c>
      <c r="F84" t="s">
        <v>115</v>
      </c>
      <c r="G84">
        <v>5.05</v>
      </c>
      <c r="H84">
        <v>0.13</v>
      </c>
      <c r="I84">
        <v>2.0099999999999998</v>
      </c>
      <c r="J84">
        <v>8.24</v>
      </c>
      <c r="K84">
        <f>SUM(G84:J84)</f>
        <v>15.43</v>
      </c>
      <c r="L84">
        <f>IF(K84&gt;20,10%,5%)</f>
        <v>0.05</v>
      </c>
      <c r="M84">
        <f>K84*L84</f>
        <v>0.77150000000000007</v>
      </c>
      <c r="N84">
        <f>LOOKUP(K84,Lookup!$A$2:$A$5,Lookup!$B$2:$B$5)</f>
        <v>0.1</v>
      </c>
      <c r="O84">
        <f>K84*N84</f>
        <v>1.5430000000000001</v>
      </c>
      <c r="P84">
        <f>K84-M84+O84</f>
        <v>16.201499999999999</v>
      </c>
    </row>
    <row r="85" spans="1:16">
      <c r="A85">
        <v>84</v>
      </c>
      <c r="B85" t="s">
        <v>122</v>
      </c>
      <c r="C85" t="s">
        <v>123</v>
      </c>
      <c r="D85">
        <v>2009</v>
      </c>
      <c r="E85" t="s">
        <v>38</v>
      </c>
      <c r="F85" t="s">
        <v>115</v>
      </c>
      <c r="G85">
        <v>6.42</v>
      </c>
      <c r="H85">
        <v>0</v>
      </c>
      <c r="I85">
        <v>0.71</v>
      </c>
      <c r="J85">
        <v>8.11</v>
      </c>
      <c r="K85">
        <f>SUM(G85:J85)</f>
        <v>15.239999999999998</v>
      </c>
      <c r="L85">
        <f>IF(K85&gt;20,10%,5%)</f>
        <v>0.05</v>
      </c>
      <c r="M85">
        <f>K85*L85</f>
        <v>0.76200000000000001</v>
      </c>
      <c r="N85">
        <f>LOOKUP(K85,Lookup!$A$2:$A$5,Lookup!$B$2:$B$5)</f>
        <v>0.1</v>
      </c>
      <c r="O85">
        <f>K85*N85</f>
        <v>1.524</v>
      </c>
      <c r="P85">
        <f>K85-M85+O85</f>
        <v>16.001999999999999</v>
      </c>
    </row>
    <row r="86" spans="1:16">
      <c r="A86">
        <v>85</v>
      </c>
      <c r="B86" t="s">
        <v>124</v>
      </c>
      <c r="C86" t="s">
        <v>83</v>
      </c>
      <c r="D86">
        <v>1997</v>
      </c>
      <c r="E86" t="s">
        <v>36</v>
      </c>
      <c r="F86" t="s">
        <v>19</v>
      </c>
      <c r="G86">
        <v>2.0099999999999998</v>
      </c>
      <c r="H86">
        <v>0.13</v>
      </c>
      <c r="I86">
        <v>0.15</v>
      </c>
      <c r="J86">
        <v>8.09</v>
      </c>
      <c r="K86">
        <f>SUM(G86:J86)</f>
        <v>10.379999999999999</v>
      </c>
      <c r="L86">
        <f>IF(K86&gt;20,10%,5%)</f>
        <v>0.05</v>
      </c>
      <c r="M86">
        <f>K86*L86</f>
        <v>0.51900000000000002</v>
      </c>
      <c r="N86">
        <f>LOOKUP(K86,Lookup!$A$2:$A$5,Lookup!$B$2:$B$5)</f>
        <v>0.1</v>
      </c>
      <c r="O86">
        <f>K86*N86</f>
        <v>1.038</v>
      </c>
      <c r="P86">
        <f>K86-M86+O86</f>
        <v>10.898999999999999</v>
      </c>
    </row>
    <row r="87" spans="1:16">
      <c r="A87">
        <v>86</v>
      </c>
      <c r="B87" t="s">
        <v>125</v>
      </c>
      <c r="C87" t="s">
        <v>17</v>
      </c>
      <c r="D87">
        <v>2007</v>
      </c>
      <c r="E87" t="s">
        <v>18</v>
      </c>
      <c r="F87" t="s">
        <v>126</v>
      </c>
      <c r="G87">
        <v>3.9</v>
      </c>
      <c r="H87">
        <v>0.66</v>
      </c>
      <c r="I87">
        <v>0.91</v>
      </c>
      <c r="J87">
        <v>8.06</v>
      </c>
      <c r="K87">
        <f>SUM(G87:J87)</f>
        <v>13.530000000000001</v>
      </c>
      <c r="L87">
        <f>IF(K87&gt;20,10%,5%)</f>
        <v>0.05</v>
      </c>
      <c r="M87">
        <f>K87*L87</f>
        <v>0.6765000000000001</v>
      </c>
      <c r="N87">
        <f>LOOKUP(K87,Lookup!$A$2:$A$5,Lookup!$B$2:$B$5)</f>
        <v>0.1</v>
      </c>
      <c r="O87">
        <f>K87*N87</f>
        <v>1.3530000000000002</v>
      </c>
      <c r="P87">
        <f>K87-M87+O87</f>
        <v>14.2065</v>
      </c>
    </row>
    <row r="88" spans="1:16">
      <c r="A88">
        <v>87</v>
      </c>
      <c r="B88" t="s">
        <v>127</v>
      </c>
      <c r="C88" t="s">
        <v>51</v>
      </c>
      <c r="D88">
        <v>2001</v>
      </c>
      <c r="E88" t="s">
        <v>27</v>
      </c>
      <c r="F88" t="s">
        <v>64</v>
      </c>
      <c r="G88">
        <v>2.0699999999999998</v>
      </c>
      <c r="H88">
        <v>2.73</v>
      </c>
      <c r="I88">
        <v>0.33</v>
      </c>
      <c r="J88">
        <v>8.0500000000000007</v>
      </c>
      <c r="K88">
        <f>SUM(G88:J88)</f>
        <v>13.18</v>
      </c>
      <c r="L88">
        <f>IF(K88&gt;20,10%,5%)</f>
        <v>0.05</v>
      </c>
      <c r="M88">
        <f>K88*L88</f>
        <v>0.65900000000000003</v>
      </c>
      <c r="N88">
        <f>LOOKUP(K88,Lookup!$A$2:$A$5,Lookup!$B$2:$B$5)</f>
        <v>0.1</v>
      </c>
      <c r="O88">
        <f>K88*N88</f>
        <v>1.3180000000000001</v>
      </c>
      <c r="P88">
        <f>K88-M88+O88</f>
        <v>13.838999999999999</v>
      </c>
    </row>
    <row r="89" spans="1:16">
      <c r="A89">
        <v>88</v>
      </c>
      <c r="B89" t="s">
        <v>128</v>
      </c>
      <c r="C89" t="s">
        <v>91</v>
      </c>
      <c r="D89">
        <v>1999</v>
      </c>
      <c r="E89" t="s">
        <v>27</v>
      </c>
      <c r="F89" t="s">
        <v>129</v>
      </c>
      <c r="G89">
        <v>1.72</v>
      </c>
      <c r="H89">
        <v>3.63</v>
      </c>
      <c r="I89">
        <v>0.23</v>
      </c>
      <c r="J89">
        <v>7.86</v>
      </c>
      <c r="K89">
        <f>SUM(G89:J89)</f>
        <v>13.440000000000001</v>
      </c>
      <c r="L89">
        <f>IF(K89&gt;20,10%,5%)</f>
        <v>0.05</v>
      </c>
      <c r="M89">
        <f>K89*L89</f>
        <v>0.67200000000000015</v>
      </c>
      <c r="N89">
        <f>LOOKUP(K89,Lookup!$A$2:$A$5,Lookup!$B$2:$B$5)</f>
        <v>0.1</v>
      </c>
      <c r="O89">
        <f>K89*N89</f>
        <v>1.3440000000000003</v>
      </c>
      <c r="P89">
        <f>K89-M89+O89</f>
        <v>14.112000000000002</v>
      </c>
    </row>
    <row r="90" spans="1:16">
      <c r="A90">
        <v>89</v>
      </c>
      <c r="B90" t="s">
        <v>130</v>
      </c>
      <c r="C90" t="s">
        <v>31</v>
      </c>
      <c r="D90">
        <v>2008</v>
      </c>
      <c r="E90" t="s">
        <v>27</v>
      </c>
      <c r="F90" t="s">
        <v>19</v>
      </c>
      <c r="G90">
        <v>1.78</v>
      </c>
      <c r="H90">
        <v>2.69</v>
      </c>
      <c r="I90">
        <v>0.55000000000000004</v>
      </c>
      <c r="J90">
        <v>7.84</v>
      </c>
      <c r="K90">
        <f>SUM(G90:J90)</f>
        <v>12.86</v>
      </c>
      <c r="L90">
        <f>IF(K90&gt;20,10%,5%)</f>
        <v>0.05</v>
      </c>
      <c r="M90">
        <f>K90*L90</f>
        <v>0.64300000000000002</v>
      </c>
      <c r="N90">
        <f>LOOKUP(K90,Lookup!$A$2:$A$5,Lookup!$B$2:$B$5)</f>
        <v>0.1</v>
      </c>
      <c r="O90">
        <f>K90*N90</f>
        <v>1.286</v>
      </c>
      <c r="P90">
        <f>K90-M90+O90</f>
        <v>13.502999999999998</v>
      </c>
    </row>
    <row r="91" spans="1:16">
      <c r="A91">
        <v>90</v>
      </c>
      <c r="B91" t="s">
        <v>131</v>
      </c>
      <c r="C91">
        <v>2600</v>
      </c>
      <c r="D91">
        <v>1982</v>
      </c>
      <c r="E91" t="s">
        <v>29</v>
      </c>
      <c r="F91" t="s">
        <v>132</v>
      </c>
      <c r="G91">
        <v>0.45</v>
      </c>
      <c r="H91">
        <v>0</v>
      </c>
      <c r="I91">
        <v>0.08</v>
      </c>
      <c r="J91">
        <v>7.81</v>
      </c>
      <c r="K91">
        <f>SUM(G91:J91)</f>
        <v>8.34</v>
      </c>
      <c r="L91">
        <f>IF(K91&gt;20,10%,5%)</f>
        <v>0.05</v>
      </c>
      <c r="M91">
        <f>K91*L91</f>
        <v>0.41700000000000004</v>
      </c>
      <c r="N91">
        <f>LOOKUP(K91,Lookup!$A$2:$A$5,Lookup!$B$2:$B$5)</f>
        <v>0.1</v>
      </c>
      <c r="O91">
        <f>K91*N91</f>
        <v>0.83400000000000007</v>
      </c>
      <c r="P91">
        <f>K91-M91+O91</f>
        <v>8.7569999999999997</v>
      </c>
    </row>
    <row r="92" spans="1:16">
      <c r="A92">
        <v>91</v>
      </c>
      <c r="B92" t="s">
        <v>133</v>
      </c>
      <c r="C92" t="s">
        <v>134</v>
      </c>
      <c r="D92">
        <v>2005</v>
      </c>
      <c r="E92" t="s">
        <v>48</v>
      </c>
      <c r="F92" t="s">
        <v>49</v>
      </c>
      <c r="G92">
        <v>2.83</v>
      </c>
      <c r="H92">
        <v>0.24</v>
      </c>
      <c r="I92">
        <v>1.75</v>
      </c>
      <c r="J92">
        <v>7.72</v>
      </c>
      <c r="K92">
        <f>SUM(G92:J92)</f>
        <v>12.54</v>
      </c>
      <c r="L92">
        <f>IF(K92&gt;20,10%,5%)</f>
        <v>0.05</v>
      </c>
      <c r="M92">
        <f>K92*L92</f>
        <v>0.627</v>
      </c>
      <c r="N92">
        <f>LOOKUP(K92,Lookup!$A$2:$A$5,Lookup!$B$2:$B$5)</f>
        <v>0.1</v>
      </c>
      <c r="O92">
        <f>K92*N92</f>
        <v>1.254</v>
      </c>
      <c r="P92">
        <f>K92-M92+O92</f>
        <v>13.166999999999998</v>
      </c>
    </row>
    <row r="93" spans="1:16">
      <c r="A93">
        <v>92</v>
      </c>
      <c r="B93" t="s">
        <v>135</v>
      </c>
      <c r="C93" t="s">
        <v>17</v>
      </c>
      <c r="D93">
        <v>2010</v>
      </c>
      <c r="E93" t="s">
        <v>2</v>
      </c>
      <c r="F93" t="s">
        <v>19</v>
      </c>
      <c r="G93">
        <v>2.42</v>
      </c>
      <c r="H93">
        <v>0.98</v>
      </c>
      <c r="I93">
        <v>0.64</v>
      </c>
      <c r="J93">
        <v>7.69</v>
      </c>
      <c r="K93">
        <f>SUM(G93:J93)</f>
        <v>11.73</v>
      </c>
      <c r="L93">
        <f>IF(K93&gt;20,10%,5%)</f>
        <v>0.05</v>
      </c>
      <c r="M93">
        <f>K93*L93</f>
        <v>0.58650000000000002</v>
      </c>
      <c r="N93">
        <f>LOOKUP(K93,Lookup!$A$2:$A$5,Lookup!$B$2:$B$5)</f>
        <v>0.1</v>
      </c>
      <c r="O93">
        <f>K93*N93</f>
        <v>1.173</v>
      </c>
      <c r="P93">
        <f>K93-M93+O93</f>
        <v>12.3165</v>
      </c>
    </row>
    <row r="94" spans="1:16">
      <c r="A94">
        <v>93</v>
      </c>
      <c r="B94" t="s">
        <v>136</v>
      </c>
      <c r="C94" t="s">
        <v>72</v>
      </c>
      <c r="D94">
        <v>2015</v>
      </c>
      <c r="E94" t="s">
        <v>36</v>
      </c>
      <c r="F94" t="s">
        <v>115</v>
      </c>
      <c r="G94">
        <v>3.29</v>
      </c>
      <c r="H94">
        <v>0.22</v>
      </c>
      <c r="I94">
        <v>1.23</v>
      </c>
      <c r="J94">
        <v>7.67</v>
      </c>
      <c r="K94">
        <f>SUM(G94:J94)</f>
        <v>12.41</v>
      </c>
      <c r="L94">
        <f>IF(K94&gt;20,10%,5%)</f>
        <v>0.05</v>
      </c>
      <c r="M94">
        <f>K94*L94</f>
        <v>0.62050000000000005</v>
      </c>
      <c r="N94">
        <f>LOOKUP(K94,Lookup!$A$2:$A$5,Lookup!$B$2:$B$5)</f>
        <v>0.1</v>
      </c>
      <c r="O94">
        <f>K94*N94</f>
        <v>1.2410000000000001</v>
      </c>
      <c r="P94">
        <f>K94-M94+O94</f>
        <v>13.0305</v>
      </c>
    </row>
    <row r="95" spans="1:16">
      <c r="A95">
        <v>94</v>
      </c>
      <c r="B95" t="s">
        <v>137</v>
      </c>
      <c r="C95" t="s">
        <v>72</v>
      </c>
      <c r="D95">
        <v>2014</v>
      </c>
      <c r="E95" t="s">
        <v>36</v>
      </c>
      <c r="F95" t="s">
        <v>66</v>
      </c>
      <c r="G95">
        <v>3.3</v>
      </c>
      <c r="H95">
        <v>0.14000000000000001</v>
      </c>
      <c r="I95">
        <v>1.37</v>
      </c>
      <c r="J95">
        <v>7.6</v>
      </c>
      <c r="K95">
        <f>SUM(G95:J95)</f>
        <v>12.41</v>
      </c>
      <c r="L95">
        <f>IF(K95&gt;20,10%,5%)</f>
        <v>0.05</v>
      </c>
      <c r="M95">
        <f>K95*L95</f>
        <v>0.62050000000000005</v>
      </c>
      <c r="N95">
        <f>LOOKUP(K95,Lookup!$A$2:$A$5,Lookup!$B$2:$B$5)</f>
        <v>0.1</v>
      </c>
      <c r="O95">
        <f>K95*N95</f>
        <v>1.2410000000000001</v>
      </c>
      <c r="P95">
        <f>K95-M95+O95</f>
        <v>13.0305</v>
      </c>
    </row>
    <row r="96" spans="1:16">
      <c r="A96">
        <v>95</v>
      </c>
      <c r="B96" t="s">
        <v>138</v>
      </c>
      <c r="C96" t="s">
        <v>83</v>
      </c>
      <c r="D96">
        <v>1998</v>
      </c>
      <c r="E96" t="s">
        <v>48</v>
      </c>
      <c r="F96" t="s">
        <v>19</v>
      </c>
      <c r="G96">
        <v>1.89</v>
      </c>
      <c r="H96">
        <v>1.45</v>
      </c>
      <c r="I96">
        <v>0.16</v>
      </c>
      <c r="J96">
        <v>7.6</v>
      </c>
      <c r="K96">
        <f>SUM(G96:J96)</f>
        <v>11.1</v>
      </c>
      <c r="L96">
        <f>IF(K96&gt;20,10%,5%)</f>
        <v>0.05</v>
      </c>
      <c r="M96">
        <f>K96*L96</f>
        <v>0.55500000000000005</v>
      </c>
      <c r="N96">
        <f>LOOKUP(K96,Lookup!$A$2:$A$5,Lookup!$B$2:$B$5)</f>
        <v>0.1</v>
      </c>
      <c r="O96">
        <f>K96*N96</f>
        <v>1.1100000000000001</v>
      </c>
      <c r="P96">
        <f>K96-M96+O96</f>
        <v>11.654999999999999</v>
      </c>
    </row>
    <row r="97" spans="1:16">
      <c r="A97">
        <v>96</v>
      </c>
      <c r="B97" t="s">
        <v>139</v>
      </c>
      <c r="C97" t="s">
        <v>91</v>
      </c>
      <c r="D97">
        <v>1997</v>
      </c>
      <c r="E97" t="s">
        <v>2</v>
      </c>
      <c r="F97" t="s">
        <v>64</v>
      </c>
      <c r="G97">
        <v>2.17</v>
      </c>
      <c r="H97">
        <v>1.31</v>
      </c>
      <c r="I97">
        <v>0.31</v>
      </c>
      <c r="J97">
        <v>7.58</v>
      </c>
      <c r="K97">
        <f>SUM(G97:J97)</f>
        <v>11.370000000000001</v>
      </c>
      <c r="L97">
        <f>IF(K97&gt;20,10%,5%)</f>
        <v>0.05</v>
      </c>
      <c r="M97">
        <f>K97*L97</f>
        <v>0.56850000000000012</v>
      </c>
      <c r="N97">
        <f>LOOKUP(K97,Lookup!$A$2:$A$5,Lookup!$B$2:$B$5)</f>
        <v>0.1</v>
      </c>
      <c r="O97">
        <f>K97*N97</f>
        <v>1.1370000000000002</v>
      </c>
      <c r="P97">
        <f>K97-M97+O97</f>
        <v>11.938500000000001</v>
      </c>
    </row>
    <row r="98" spans="1:16">
      <c r="A98">
        <v>97</v>
      </c>
      <c r="B98" t="s">
        <v>140</v>
      </c>
      <c r="C98" t="s">
        <v>21</v>
      </c>
      <c r="D98">
        <v>1988</v>
      </c>
      <c r="E98" t="s">
        <v>2</v>
      </c>
      <c r="F98" t="s">
        <v>19</v>
      </c>
      <c r="G98">
        <v>1.18</v>
      </c>
      <c r="H98">
        <v>0.7</v>
      </c>
      <c r="I98">
        <v>0.19</v>
      </c>
      <c r="J98">
        <v>7.46</v>
      </c>
      <c r="K98">
        <f>SUM(G98:J98)</f>
        <v>9.5299999999999994</v>
      </c>
      <c r="L98">
        <f>IF(K98&gt;20,10%,5%)</f>
        <v>0.05</v>
      </c>
      <c r="M98">
        <f>K98*L98</f>
        <v>0.47649999999999998</v>
      </c>
      <c r="N98">
        <f>LOOKUP(K98,Lookup!$A$2:$A$5,Lookup!$B$2:$B$5)</f>
        <v>0.1</v>
      </c>
      <c r="O98">
        <f>K98*N98</f>
        <v>0.95299999999999996</v>
      </c>
      <c r="P98">
        <f>K98-M98+O98</f>
        <v>10.006499999999999</v>
      </c>
    </row>
    <row r="99" spans="1:16">
      <c r="A99">
        <v>98</v>
      </c>
      <c r="B99" t="s">
        <v>141</v>
      </c>
      <c r="C99" t="s">
        <v>70</v>
      </c>
      <c r="D99">
        <v>2014</v>
      </c>
      <c r="E99" t="s">
        <v>77</v>
      </c>
      <c r="F99" t="s">
        <v>19</v>
      </c>
      <c r="G99">
        <v>1.35</v>
      </c>
      <c r="H99">
        <v>2.42</v>
      </c>
      <c r="I99">
        <v>0.43</v>
      </c>
      <c r="J99">
        <v>7.45</v>
      </c>
      <c r="K99">
        <f>SUM(G99:J99)</f>
        <v>11.65</v>
      </c>
      <c r="L99">
        <f>IF(K99&gt;20,10%,5%)</f>
        <v>0.05</v>
      </c>
      <c r="M99">
        <f>K99*L99</f>
        <v>0.58250000000000002</v>
      </c>
      <c r="N99">
        <f>LOOKUP(K99,Lookup!$A$2:$A$5,Lookup!$B$2:$B$5)</f>
        <v>0.1</v>
      </c>
      <c r="O99">
        <f>K99*N99</f>
        <v>1.165</v>
      </c>
      <c r="P99">
        <f>K99-M99+O99</f>
        <v>12.232500000000002</v>
      </c>
    </row>
    <row r="100" spans="1:16">
      <c r="A100">
        <v>99</v>
      </c>
      <c r="B100" t="s">
        <v>142</v>
      </c>
      <c r="C100" t="s">
        <v>44</v>
      </c>
      <c r="D100">
        <v>2008</v>
      </c>
      <c r="E100" t="s">
        <v>36</v>
      </c>
      <c r="F100" t="s">
        <v>66</v>
      </c>
      <c r="G100">
        <v>1.9</v>
      </c>
      <c r="H100">
        <v>0</v>
      </c>
      <c r="I100">
        <v>0.69</v>
      </c>
      <c r="J100">
        <v>7.37</v>
      </c>
      <c r="K100">
        <f>SUM(G100:J100)</f>
        <v>9.9600000000000009</v>
      </c>
      <c r="L100">
        <f>IF(K100&gt;20,10%,5%)</f>
        <v>0.05</v>
      </c>
      <c r="M100">
        <f>K100*L100</f>
        <v>0.49800000000000005</v>
      </c>
      <c r="N100">
        <f>LOOKUP(K100,Lookup!$A$2:$A$5,Lookup!$B$2:$B$5)</f>
        <v>0.1</v>
      </c>
      <c r="O100">
        <f>K100*N100</f>
        <v>0.99600000000000011</v>
      </c>
      <c r="P100">
        <f>K100-M100+O100</f>
        <v>10.458000000000002</v>
      </c>
    </row>
    <row r="101" spans="1:16">
      <c r="A101">
        <v>100</v>
      </c>
      <c r="B101" t="s">
        <v>143</v>
      </c>
      <c r="C101" t="s">
        <v>44</v>
      </c>
      <c r="D101">
        <v>2011</v>
      </c>
      <c r="E101" t="s">
        <v>36</v>
      </c>
      <c r="F101" t="s">
        <v>115</v>
      </c>
      <c r="G101">
        <v>2.13</v>
      </c>
      <c r="H101">
        <v>0.06</v>
      </c>
      <c r="I101">
        <v>0.69</v>
      </c>
      <c r="J101">
        <v>7.34</v>
      </c>
      <c r="K101">
        <f>SUM(G101:J101)</f>
        <v>10.219999999999999</v>
      </c>
      <c r="L101">
        <f>IF(K101&gt;20,10%,5%)</f>
        <v>0.05</v>
      </c>
      <c r="M101">
        <f>K101*L101</f>
        <v>0.51100000000000001</v>
      </c>
      <c r="N101">
        <f>LOOKUP(K101,Lookup!$A$2:$A$5,Lookup!$B$2:$B$5)</f>
        <v>0.1</v>
      </c>
      <c r="O101">
        <f>K101*N101</f>
        <v>1.022</v>
      </c>
      <c r="P101">
        <f>K101-M101+O101</f>
        <v>10.731</v>
      </c>
    </row>
    <row r="102" spans="1:16">
      <c r="A102">
        <v>101</v>
      </c>
      <c r="B102" t="s">
        <v>144</v>
      </c>
      <c r="C102" t="s">
        <v>17</v>
      </c>
      <c r="D102">
        <v>2006</v>
      </c>
      <c r="E102" t="s">
        <v>48</v>
      </c>
      <c r="F102" t="s">
        <v>19</v>
      </c>
      <c r="G102">
        <v>2.19</v>
      </c>
      <c r="H102">
        <v>0.6</v>
      </c>
      <c r="I102">
        <v>0.7</v>
      </c>
      <c r="J102">
        <v>7.31</v>
      </c>
      <c r="K102">
        <f>SUM(G102:J102)</f>
        <v>10.8</v>
      </c>
      <c r="L102">
        <f>IF(K102&gt;20,10%,5%)</f>
        <v>0.05</v>
      </c>
      <c r="M102">
        <f>K102*L102</f>
        <v>0.54</v>
      </c>
      <c r="N102">
        <f>LOOKUP(K102,Lookup!$A$2:$A$5,Lookup!$B$2:$B$5)</f>
        <v>0.1</v>
      </c>
      <c r="O102">
        <f>K102*N102</f>
        <v>1.08</v>
      </c>
      <c r="P102">
        <f>K102-M102+O102</f>
        <v>11.340000000000002</v>
      </c>
    </row>
    <row r="103" spans="1:16">
      <c r="A103">
        <v>102</v>
      </c>
      <c r="B103" t="s">
        <v>71</v>
      </c>
      <c r="C103" t="s">
        <v>145</v>
      </c>
      <c r="D103">
        <v>2015</v>
      </c>
      <c r="E103" t="s">
        <v>36</v>
      </c>
      <c r="F103" t="s">
        <v>66</v>
      </c>
      <c r="G103">
        <v>2.09</v>
      </c>
      <c r="H103">
        <v>0.01</v>
      </c>
      <c r="I103">
        <v>0.67</v>
      </c>
      <c r="J103">
        <v>7.3</v>
      </c>
      <c r="K103">
        <f>SUM(G103:J103)</f>
        <v>10.07</v>
      </c>
      <c r="L103">
        <f>IF(K103&gt;20,10%,5%)</f>
        <v>0.05</v>
      </c>
      <c r="M103">
        <f>K103*L103</f>
        <v>0.50350000000000006</v>
      </c>
      <c r="N103">
        <f>LOOKUP(K103,Lookup!$A$2:$A$5,Lookup!$B$2:$B$5)</f>
        <v>0.1</v>
      </c>
      <c r="O103">
        <f>K103*N103</f>
        <v>1.0070000000000001</v>
      </c>
      <c r="P103">
        <f>K103-M103+O103</f>
        <v>10.573499999999999</v>
      </c>
    </row>
    <row r="104" spans="1:16">
      <c r="A104">
        <v>103</v>
      </c>
      <c r="B104" t="s">
        <v>146</v>
      </c>
      <c r="C104" t="s">
        <v>17</v>
      </c>
      <c r="D104">
        <v>2009</v>
      </c>
      <c r="E104" t="s">
        <v>33</v>
      </c>
      <c r="F104" t="s">
        <v>97</v>
      </c>
      <c r="G104">
        <v>3.03</v>
      </c>
      <c r="H104">
        <v>0</v>
      </c>
      <c r="I104">
        <v>0.73</v>
      </c>
      <c r="J104">
        <v>7.27</v>
      </c>
      <c r="K104">
        <f>SUM(G104:J104)</f>
        <v>11.03</v>
      </c>
      <c r="L104">
        <f>IF(K104&gt;20,10%,5%)</f>
        <v>0.05</v>
      </c>
      <c r="M104">
        <f>K104*L104</f>
        <v>0.55149999999999999</v>
      </c>
      <c r="N104">
        <f>LOOKUP(K104,Lookup!$A$2:$A$5,Lookup!$B$2:$B$5)</f>
        <v>0.1</v>
      </c>
      <c r="O104">
        <f>K104*N104</f>
        <v>1.103</v>
      </c>
      <c r="P104">
        <f>K104-M104+O104</f>
        <v>11.581499999999998</v>
      </c>
    </row>
    <row r="105" spans="1:16">
      <c r="A105">
        <v>104</v>
      </c>
      <c r="B105" t="s">
        <v>143</v>
      </c>
      <c r="C105" t="s">
        <v>47</v>
      </c>
      <c r="D105">
        <v>2011</v>
      </c>
      <c r="E105" t="s">
        <v>36</v>
      </c>
      <c r="F105" t="s">
        <v>115</v>
      </c>
      <c r="G105">
        <v>2.93</v>
      </c>
      <c r="H105">
        <v>0.35</v>
      </c>
      <c r="I105">
        <v>1.1000000000000001</v>
      </c>
      <c r="J105">
        <v>7.23</v>
      </c>
      <c r="K105">
        <f>SUM(G105:J105)</f>
        <v>11.610000000000001</v>
      </c>
      <c r="L105">
        <f>IF(K105&gt;20,10%,5%)</f>
        <v>0.05</v>
      </c>
      <c r="M105">
        <f>K105*L105</f>
        <v>0.58050000000000013</v>
      </c>
      <c r="N105">
        <f>LOOKUP(K105,Lookup!$A$2:$A$5,Lookup!$B$2:$B$5)</f>
        <v>0.1</v>
      </c>
      <c r="O105">
        <f>K105*N105</f>
        <v>1.1610000000000003</v>
      </c>
      <c r="P105">
        <f>K105-M105+O105</f>
        <v>12.1905</v>
      </c>
    </row>
    <row r="106" spans="1:16">
      <c r="A106">
        <v>105</v>
      </c>
      <c r="B106" t="s">
        <v>147</v>
      </c>
      <c r="C106" t="s">
        <v>51</v>
      </c>
      <c r="D106">
        <v>2003</v>
      </c>
      <c r="E106" t="s">
        <v>23</v>
      </c>
      <c r="F106" t="s">
        <v>115</v>
      </c>
      <c r="G106">
        <v>2.83</v>
      </c>
      <c r="H106">
        <v>0.08</v>
      </c>
      <c r="I106">
        <v>1.02</v>
      </c>
      <c r="J106">
        <v>7.2</v>
      </c>
      <c r="K106">
        <f>SUM(G106:J106)</f>
        <v>11.13</v>
      </c>
      <c r="L106">
        <f>IF(K106&gt;20,10%,5%)</f>
        <v>0.05</v>
      </c>
      <c r="M106">
        <f>K106*L106</f>
        <v>0.55650000000000011</v>
      </c>
      <c r="N106">
        <f>LOOKUP(K106,Lookup!$A$2:$A$5,Lookup!$B$2:$B$5)</f>
        <v>0.1</v>
      </c>
      <c r="O106">
        <f>K106*N106</f>
        <v>1.1130000000000002</v>
      </c>
      <c r="P106">
        <f>K106-M106+O106</f>
        <v>11.686500000000001</v>
      </c>
    </row>
    <row r="107" spans="1:16">
      <c r="A107">
        <v>106</v>
      </c>
      <c r="B107" t="s">
        <v>148</v>
      </c>
      <c r="C107" t="s">
        <v>91</v>
      </c>
      <c r="D107">
        <v>1998</v>
      </c>
      <c r="E107" t="s">
        <v>77</v>
      </c>
      <c r="F107" t="s">
        <v>64</v>
      </c>
      <c r="G107">
        <v>2.2200000000000002</v>
      </c>
      <c r="H107">
        <v>1.4</v>
      </c>
      <c r="I107">
        <v>0.28999999999999998</v>
      </c>
      <c r="J107">
        <v>7.16</v>
      </c>
      <c r="K107">
        <f>SUM(G107:J107)</f>
        <v>11.07</v>
      </c>
      <c r="L107">
        <f>IF(K107&gt;20,10%,5%)</f>
        <v>0.05</v>
      </c>
      <c r="M107">
        <f>K107*L107</f>
        <v>0.55349999999999999</v>
      </c>
      <c r="N107">
        <f>LOOKUP(K107,Lookup!$A$2:$A$5,Lookup!$B$2:$B$5)</f>
        <v>0.1</v>
      </c>
      <c r="O107">
        <f>K107*N107</f>
        <v>1.107</v>
      </c>
      <c r="P107">
        <f>K107-M107+O107</f>
        <v>11.6235</v>
      </c>
    </row>
    <row r="108" spans="1:16">
      <c r="A108">
        <v>107</v>
      </c>
      <c r="B108" t="s">
        <v>149</v>
      </c>
      <c r="C108" t="s">
        <v>91</v>
      </c>
      <c r="D108">
        <v>1998</v>
      </c>
      <c r="E108" t="s">
        <v>2</v>
      </c>
      <c r="F108" t="s">
        <v>64</v>
      </c>
      <c r="G108">
        <v>1.75</v>
      </c>
      <c r="H108">
        <v>1.42</v>
      </c>
      <c r="I108">
        <v>0.28000000000000003</v>
      </c>
      <c r="J108">
        <v>7.13</v>
      </c>
      <c r="K108">
        <f>SUM(G108:J108)</f>
        <v>10.58</v>
      </c>
      <c r="L108">
        <f>IF(K108&gt;20,10%,5%)</f>
        <v>0.05</v>
      </c>
      <c r="M108">
        <f>K108*L108</f>
        <v>0.52900000000000003</v>
      </c>
      <c r="N108">
        <f>LOOKUP(K108,Lookup!$A$2:$A$5,Lookup!$B$2:$B$5)</f>
        <v>0.1</v>
      </c>
      <c r="O108">
        <f>K108*N108</f>
        <v>1.0580000000000001</v>
      </c>
      <c r="P108">
        <f>K108-M108+O108</f>
        <v>11.109</v>
      </c>
    </row>
    <row r="109" spans="1:16">
      <c r="A109">
        <v>108</v>
      </c>
      <c r="B109" t="s">
        <v>150</v>
      </c>
      <c r="C109" t="s">
        <v>151</v>
      </c>
      <c r="D109">
        <v>2001</v>
      </c>
      <c r="E109" t="s">
        <v>77</v>
      </c>
      <c r="F109" t="s">
        <v>19</v>
      </c>
      <c r="G109">
        <v>1.04</v>
      </c>
      <c r="H109">
        <v>1.39</v>
      </c>
      <c r="I109">
        <v>0.22</v>
      </c>
      <c r="J109">
        <v>7.07</v>
      </c>
      <c r="K109">
        <f>SUM(G109:J109)</f>
        <v>9.7200000000000006</v>
      </c>
      <c r="L109">
        <f>IF(K109&gt;20,10%,5%)</f>
        <v>0.05</v>
      </c>
      <c r="M109">
        <f>K109*L109</f>
        <v>0.48600000000000004</v>
      </c>
      <c r="N109">
        <f>LOOKUP(K109,Lookup!$A$2:$A$5,Lookup!$B$2:$B$5)</f>
        <v>0.1</v>
      </c>
      <c r="O109">
        <f>K109*N109</f>
        <v>0.97200000000000009</v>
      </c>
      <c r="P109">
        <f>K109-M109+O109</f>
        <v>10.206</v>
      </c>
    </row>
    <row r="110" spans="1:16">
      <c r="A110">
        <v>109</v>
      </c>
      <c r="B110" t="s">
        <v>152</v>
      </c>
      <c r="C110" t="s">
        <v>153</v>
      </c>
      <c r="D110">
        <v>2014</v>
      </c>
      <c r="E110" t="s">
        <v>23</v>
      </c>
      <c r="F110" t="s">
        <v>19</v>
      </c>
      <c r="G110">
        <v>2.0699999999999998</v>
      </c>
      <c r="H110">
        <v>1.27</v>
      </c>
      <c r="I110">
        <v>0.49</v>
      </c>
      <c r="J110">
        <v>6.96</v>
      </c>
      <c r="K110">
        <f>SUM(G110:J110)</f>
        <v>10.79</v>
      </c>
      <c r="L110">
        <f>IF(K110&gt;20,10%,5%)</f>
        <v>0.05</v>
      </c>
      <c r="M110">
        <f>K110*L110</f>
        <v>0.53949999999999998</v>
      </c>
      <c r="N110">
        <f>LOOKUP(K110,Lookup!$A$2:$A$5,Lookup!$B$2:$B$5)</f>
        <v>0.1</v>
      </c>
      <c r="O110">
        <f>K110*N110</f>
        <v>1.079</v>
      </c>
      <c r="P110">
        <f>K110-M110+O110</f>
        <v>11.329499999999999</v>
      </c>
    </row>
    <row r="111" spans="1:16">
      <c r="A111">
        <v>110</v>
      </c>
      <c r="B111" t="s">
        <v>154</v>
      </c>
      <c r="C111" t="s">
        <v>72</v>
      </c>
      <c r="D111">
        <v>2015</v>
      </c>
      <c r="E111" t="s">
        <v>27</v>
      </c>
      <c r="F111" t="s">
        <v>112</v>
      </c>
      <c r="G111">
        <v>3.15</v>
      </c>
      <c r="H111">
        <v>0.24</v>
      </c>
      <c r="I111">
        <v>1.1000000000000001</v>
      </c>
      <c r="J111">
        <v>6.96</v>
      </c>
      <c r="K111">
        <f>SUM(G111:J111)</f>
        <v>11.45</v>
      </c>
      <c r="L111">
        <f>IF(K111&gt;20,10%,5%)</f>
        <v>0.05</v>
      </c>
      <c r="M111">
        <f>K111*L111</f>
        <v>0.57250000000000001</v>
      </c>
      <c r="N111">
        <f>LOOKUP(K111,Lookup!$A$2:$A$5,Lookup!$B$2:$B$5)</f>
        <v>0.1</v>
      </c>
      <c r="O111">
        <f>K111*N111</f>
        <v>1.145</v>
      </c>
      <c r="P111">
        <f>K111-M111+O111</f>
        <v>12.022499999999999</v>
      </c>
    </row>
    <row r="112" spans="1:16">
      <c r="A112">
        <v>111</v>
      </c>
      <c r="B112" t="s">
        <v>155</v>
      </c>
      <c r="C112" t="s">
        <v>151</v>
      </c>
      <c r="D112">
        <v>2003</v>
      </c>
      <c r="E112" t="s">
        <v>23</v>
      </c>
      <c r="F112" t="s">
        <v>19</v>
      </c>
      <c r="G112">
        <v>1.77</v>
      </c>
      <c r="H112">
        <v>0.87</v>
      </c>
      <c r="I112">
        <v>0.19</v>
      </c>
      <c r="J112">
        <v>6.95</v>
      </c>
      <c r="K112">
        <f>SUM(G112:J112)</f>
        <v>9.7800000000000011</v>
      </c>
      <c r="L112">
        <f>IF(K112&gt;20,10%,5%)</f>
        <v>0.05</v>
      </c>
      <c r="M112">
        <f>K112*L112</f>
        <v>0.4890000000000001</v>
      </c>
      <c r="N112">
        <f>LOOKUP(K112,Lookup!$A$2:$A$5,Lookup!$B$2:$B$5)</f>
        <v>0.1</v>
      </c>
      <c r="O112">
        <f>K112*N112</f>
        <v>0.9780000000000002</v>
      </c>
      <c r="P112">
        <f>K112-M112+O112</f>
        <v>10.269</v>
      </c>
    </row>
    <row r="113" spans="1:16">
      <c r="A113">
        <v>112</v>
      </c>
      <c r="B113" t="s">
        <v>156</v>
      </c>
      <c r="C113" t="s">
        <v>17</v>
      </c>
      <c r="D113">
        <v>2012</v>
      </c>
      <c r="E113" t="s">
        <v>33</v>
      </c>
      <c r="F113" t="s">
        <v>97</v>
      </c>
      <c r="G113">
        <v>2.21</v>
      </c>
      <c r="H113">
        <v>0</v>
      </c>
      <c r="I113">
        <v>0.56000000000000005</v>
      </c>
      <c r="J113">
        <v>6.91</v>
      </c>
      <c r="K113">
        <f>SUM(G113:J113)</f>
        <v>9.68</v>
      </c>
      <c r="L113">
        <f>IF(K113&gt;20,10%,5%)</f>
        <v>0.05</v>
      </c>
      <c r="M113">
        <f>K113*L113</f>
        <v>0.48399999999999999</v>
      </c>
      <c r="N113">
        <f>LOOKUP(K113,Lookup!$A$2:$A$5,Lookup!$B$2:$B$5)</f>
        <v>0.1</v>
      </c>
      <c r="O113">
        <f>K113*N113</f>
        <v>0.96799999999999997</v>
      </c>
      <c r="P113">
        <f>K113-M113+O113</f>
        <v>10.164</v>
      </c>
    </row>
    <row r="114" spans="1:16">
      <c r="A114">
        <v>113</v>
      </c>
      <c r="B114" t="s">
        <v>157</v>
      </c>
      <c r="C114" t="s">
        <v>47</v>
      </c>
      <c r="D114">
        <v>2013</v>
      </c>
      <c r="E114" t="s">
        <v>18</v>
      </c>
      <c r="F114" t="s">
        <v>115</v>
      </c>
      <c r="G114">
        <v>4.32</v>
      </c>
      <c r="H114">
        <v>7.0000000000000007E-2</v>
      </c>
      <c r="I114">
        <v>1.73</v>
      </c>
      <c r="J114">
        <v>6.9</v>
      </c>
      <c r="K114">
        <f>SUM(G114:J114)</f>
        <v>13.020000000000001</v>
      </c>
      <c r="L114">
        <f>IF(K114&gt;20,10%,5%)</f>
        <v>0.05</v>
      </c>
      <c r="M114">
        <f>K114*L114</f>
        <v>0.65100000000000013</v>
      </c>
      <c r="N114">
        <f>LOOKUP(K114,Lookup!$A$2:$A$5,Lookup!$B$2:$B$5)</f>
        <v>0.1</v>
      </c>
      <c r="O114">
        <f>K114*N114</f>
        <v>1.3020000000000003</v>
      </c>
      <c r="P114">
        <f>K114-M114+O114</f>
        <v>13.671000000000001</v>
      </c>
    </row>
    <row r="115" spans="1:16">
      <c r="A115">
        <v>114</v>
      </c>
      <c r="B115" t="s">
        <v>158</v>
      </c>
      <c r="C115" t="s">
        <v>51</v>
      </c>
      <c r="D115">
        <v>2004</v>
      </c>
      <c r="E115" t="s">
        <v>23</v>
      </c>
      <c r="F115" t="s">
        <v>115</v>
      </c>
      <c r="G115">
        <v>3.02</v>
      </c>
      <c r="H115">
        <v>0.08</v>
      </c>
      <c r="I115">
        <v>1.0900000000000001</v>
      </c>
      <c r="J115">
        <v>6.9</v>
      </c>
      <c r="K115">
        <f>SUM(G115:J115)</f>
        <v>11.09</v>
      </c>
      <c r="L115">
        <f>IF(K115&gt;20,10%,5%)</f>
        <v>0.05</v>
      </c>
      <c r="M115">
        <f>K115*L115</f>
        <v>0.55449999999999999</v>
      </c>
      <c r="N115">
        <f>LOOKUP(K115,Lookup!$A$2:$A$5,Lookup!$B$2:$B$5)</f>
        <v>0.1</v>
      </c>
      <c r="O115">
        <f>K115*N115</f>
        <v>1.109</v>
      </c>
      <c r="P115">
        <f>K115-M115+O115</f>
        <v>11.644499999999999</v>
      </c>
    </row>
    <row r="116" spans="1:16">
      <c r="A116">
        <v>115</v>
      </c>
      <c r="B116" t="s">
        <v>159</v>
      </c>
      <c r="C116" t="s">
        <v>51</v>
      </c>
      <c r="D116">
        <v>2002</v>
      </c>
      <c r="E116" t="s">
        <v>36</v>
      </c>
      <c r="F116" t="s">
        <v>115</v>
      </c>
      <c r="G116">
        <v>2.75</v>
      </c>
      <c r="H116">
        <v>0.17</v>
      </c>
      <c r="I116">
        <v>0.99</v>
      </c>
      <c r="J116">
        <v>6.83</v>
      </c>
      <c r="K116">
        <f>SUM(G116:J116)</f>
        <v>10.74</v>
      </c>
      <c r="L116">
        <f>IF(K116&gt;20,10%,5%)</f>
        <v>0.05</v>
      </c>
      <c r="M116">
        <f>K116*L116</f>
        <v>0.53700000000000003</v>
      </c>
      <c r="N116">
        <f>LOOKUP(K116,Lookup!$A$2:$A$5,Lookup!$B$2:$B$5)</f>
        <v>0.1</v>
      </c>
      <c r="O116">
        <f>K116*N116</f>
        <v>1.0740000000000001</v>
      </c>
      <c r="P116">
        <f>K116-M116+O116</f>
        <v>11.276999999999999</v>
      </c>
    </row>
    <row r="117" spans="1:16">
      <c r="A117">
        <v>116</v>
      </c>
      <c r="B117" t="s">
        <v>160</v>
      </c>
      <c r="C117" t="s">
        <v>47</v>
      </c>
      <c r="D117">
        <v>2011</v>
      </c>
      <c r="E117" t="s">
        <v>48</v>
      </c>
      <c r="F117" t="s">
        <v>64</v>
      </c>
      <c r="G117">
        <v>2.8</v>
      </c>
      <c r="H117">
        <v>0.19</v>
      </c>
      <c r="I117">
        <v>1.06</v>
      </c>
      <c r="J117">
        <v>6.83</v>
      </c>
      <c r="K117">
        <f>SUM(G117:J117)</f>
        <v>10.879999999999999</v>
      </c>
      <c r="L117">
        <f>IF(K117&gt;20,10%,5%)</f>
        <v>0.05</v>
      </c>
      <c r="M117">
        <f>K117*L117</f>
        <v>0.54399999999999993</v>
      </c>
      <c r="N117">
        <f>LOOKUP(K117,Lookup!$A$2:$A$5,Lookup!$B$2:$B$5)</f>
        <v>0.1</v>
      </c>
      <c r="O117">
        <f>K117*N117</f>
        <v>1.0879999999999999</v>
      </c>
      <c r="P117">
        <f>K117-M117+O117</f>
        <v>11.423999999999998</v>
      </c>
    </row>
    <row r="118" spans="1:16">
      <c r="A118">
        <v>117</v>
      </c>
      <c r="B118" t="s">
        <v>161</v>
      </c>
      <c r="C118" t="s">
        <v>91</v>
      </c>
      <c r="D118">
        <v>1996</v>
      </c>
      <c r="E118" t="s">
        <v>2</v>
      </c>
      <c r="F118" t="s">
        <v>64</v>
      </c>
      <c r="G118">
        <v>2.35</v>
      </c>
      <c r="H118">
        <v>0.94</v>
      </c>
      <c r="I118">
        <v>0.3</v>
      </c>
      <c r="J118">
        <v>6.82</v>
      </c>
      <c r="K118">
        <f>SUM(G118:J118)</f>
        <v>10.41</v>
      </c>
      <c r="L118">
        <f>IF(K118&gt;20,10%,5%)</f>
        <v>0.05</v>
      </c>
      <c r="M118">
        <f>K118*L118</f>
        <v>0.52050000000000007</v>
      </c>
      <c r="N118">
        <f>LOOKUP(K118,Lookup!$A$2:$A$5,Lookup!$B$2:$B$5)</f>
        <v>0.1</v>
      </c>
      <c r="O118">
        <f>K118*N118</f>
        <v>1.0410000000000001</v>
      </c>
      <c r="P118">
        <f>K118-M118+O118</f>
        <v>10.9305</v>
      </c>
    </row>
    <row r="119" spans="1:16">
      <c r="A119">
        <v>118</v>
      </c>
      <c r="B119" t="s">
        <v>162</v>
      </c>
      <c r="C119" t="s">
        <v>17</v>
      </c>
      <c r="D119">
        <v>2010</v>
      </c>
      <c r="E119" t="s">
        <v>18</v>
      </c>
      <c r="F119" t="s">
        <v>163</v>
      </c>
      <c r="G119">
        <v>2.64</v>
      </c>
      <c r="H119">
        <v>0</v>
      </c>
      <c r="I119">
        <v>0.67</v>
      </c>
      <c r="J119">
        <v>6.81</v>
      </c>
      <c r="K119">
        <f>SUM(G119:J119)</f>
        <v>10.119999999999999</v>
      </c>
      <c r="L119">
        <f>IF(K119&gt;20,10%,5%)</f>
        <v>0.05</v>
      </c>
      <c r="M119">
        <f>K119*L119</f>
        <v>0.50600000000000001</v>
      </c>
      <c r="N119">
        <f>LOOKUP(K119,Lookup!$A$2:$A$5,Lookup!$B$2:$B$5)</f>
        <v>0.1</v>
      </c>
      <c r="O119">
        <f>K119*N119</f>
        <v>1.012</v>
      </c>
      <c r="P119">
        <f>K119-M119+O119</f>
        <v>10.625999999999999</v>
      </c>
    </row>
    <row r="120" spans="1:16">
      <c r="A120">
        <v>119</v>
      </c>
      <c r="B120" t="s">
        <v>164</v>
      </c>
      <c r="C120" t="s">
        <v>44</v>
      </c>
      <c r="D120">
        <v>2008</v>
      </c>
      <c r="E120" t="s">
        <v>36</v>
      </c>
      <c r="F120" t="s">
        <v>45</v>
      </c>
      <c r="G120">
        <v>1.92</v>
      </c>
      <c r="H120">
        <v>0.06</v>
      </c>
      <c r="I120">
        <v>0.64</v>
      </c>
      <c r="J120">
        <v>6.76</v>
      </c>
      <c r="K120">
        <f>SUM(G120:J120)</f>
        <v>9.379999999999999</v>
      </c>
      <c r="L120">
        <f>IF(K120&gt;20,10%,5%)</f>
        <v>0.05</v>
      </c>
      <c r="M120">
        <f>K120*L120</f>
        <v>0.46899999999999997</v>
      </c>
      <c r="N120">
        <f>LOOKUP(K120,Lookup!$A$2:$A$5,Lookup!$B$2:$B$5)</f>
        <v>0.1</v>
      </c>
      <c r="O120">
        <f>K120*N120</f>
        <v>0.93799999999999994</v>
      </c>
      <c r="P120">
        <f>K120-M120+O120</f>
        <v>9.8490000000000002</v>
      </c>
    </row>
    <row r="121" spans="1:16">
      <c r="A121">
        <v>120</v>
      </c>
      <c r="B121" t="s">
        <v>165</v>
      </c>
      <c r="C121" t="s">
        <v>47</v>
      </c>
      <c r="D121">
        <v>2009</v>
      </c>
      <c r="E121" t="s">
        <v>48</v>
      </c>
      <c r="F121" t="s">
        <v>64</v>
      </c>
      <c r="G121">
        <v>2.25</v>
      </c>
      <c r="H121">
        <v>0.21</v>
      </c>
      <c r="I121">
        <v>1</v>
      </c>
      <c r="J121">
        <v>6.73</v>
      </c>
      <c r="K121">
        <f>SUM(G121:J121)</f>
        <v>10.190000000000001</v>
      </c>
      <c r="L121">
        <f>IF(K121&gt;20,10%,5%)</f>
        <v>0.05</v>
      </c>
      <c r="M121">
        <f>K121*L121</f>
        <v>0.50950000000000006</v>
      </c>
      <c r="N121">
        <f>LOOKUP(K121,Lookup!$A$2:$A$5,Lookup!$B$2:$B$5)</f>
        <v>0.1</v>
      </c>
      <c r="O121">
        <f>K121*N121</f>
        <v>1.0190000000000001</v>
      </c>
      <c r="P121">
        <f>K121-M121+O121</f>
        <v>10.699500000000002</v>
      </c>
    </row>
    <row r="122" spans="1:16">
      <c r="A122">
        <v>121</v>
      </c>
      <c r="B122" t="s">
        <v>106</v>
      </c>
      <c r="C122" t="s">
        <v>47</v>
      </c>
      <c r="D122">
        <v>2007</v>
      </c>
      <c r="E122" t="s">
        <v>36</v>
      </c>
      <c r="F122" t="s">
        <v>66</v>
      </c>
      <c r="G122">
        <v>2.2999999999999998</v>
      </c>
      <c r="H122">
        <v>0.28000000000000003</v>
      </c>
      <c r="I122">
        <v>1.04</v>
      </c>
      <c r="J122">
        <v>6.72</v>
      </c>
      <c r="K122">
        <f>SUM(G122:J122)</f>
        <v>10.34</v>
      </c>
      <c r="L122">
        <f>IF(K122&gt;20,10%,5%)</f>
        <v>0.05</v>
      </c>
      <c r="M122">
        <f>K122*L122</f>
        <v>0.51700000000000002</v>
      </c>
      <c r="N122">
        <f>LOOKUP(K122,Lookup!$A$2:$A$5,Lookup!$B$2:$B$5)</f>
        <v>0.1</v>
      </c>
      <c r="O122">
        <f>K122*N122</f>
        <v>1.034</v>
      </c>
      <c r="P122">
        <f>K122-M122+O122</f>
        <v>10.857000000000001</v>
      </c>
    </row>
    <row r="123" spans="1:16">
      <c r="A123">
        <v>122</v>
      </c>
      <c r="B123" t="s">
        <v>166</v>
      </c>
      <c r="C123" t="s">
        <v>47</v>
      </c>
      <c r="D123">
        <v>2011</v>
      </c>
      <c r="E123" t="s">
        <v>18</v>
      </c>
      <c r="F123" t="s">
        <v>115</v>
      </c>
      <c r="G123">
        <v>4.32</v>
      </c>
      <c r="H123">
        <v>0.11</v>
      </c>
      <c r="I123">
        <v>1.42</v>
      </c>
      <c r="J123">
        <v>6.69</v>
      </c>
      <c r="K123">
        <f>SUM(G123:J123)</f>
        <v>12.540000000000001</v>
      </c>
      <c r="L123">
        <f>IF(K123&gt;20,10%,5%)</f>
        <v>0.05</v>
      </c>
      <c r="M123">
        <f>K123*L123</f>
        <v>0.62700000000000011</v>
      </c>
      <c r="N123">
        <f>LOOKUP(K123,Lookup!$A$2:$A$5,Lookup!$B$2:$B$5)</f>
        <v>0.1</v>
      </c>
      <c r="O123">
        <f>K123*N123</f>
        <v>1.2540000000000002</v>
      </c>
      <c r="P123">
        <f>K123-M123+O123</f>
        <v>13.167</v>
      </c>
    </row>
    <row r="124" spans="1:16">
      <c r="A124">
        <v>123</v>
      </c>
      <c r="B124" t="s">
        <v>167</v>
      </c>
      <c r="C124" t="s">
        <v>31</v>
      </c>
      <c r="D124">
        <v>2005</v>
      </c>
      <c r="E124" t="s">
        <v>33</v>
      </c>
      <c r="F124" t="s">
        <v>19</v>
      </c>
      <c r="G124">
        <v>2.78</v>
      </c>
      <c r="H124">
        <v>1.6</v>
      </c>
      <c r="I124">
        <v>0.62</v>
      </c>
      <c r="J124">
        <v>6.67</v>
      </c>
      <c r="K124">
        <f>SUM(G124:J124)</f>
        <v>11.67</v>
      </c>
      <c r="L124">
        <f>IF(K124&gt;20,10%,5%)</f>
        <v>0.05</v>
      </c>
      <c r="M124">
        <f>K124*L124</f>
        <v>0.58350000000000002</v>
      </c>
      <c r="N124">
        <f>LOOKUP(K124,Lookup!$A$2:$A$5,Lookup!$B$2:$B$5)</f>
        <v>0.1</v>
      </c>
      <c r="O124">
        <f>K124*N124</f>
        <v>1.167</v>
      </c>
      <c r="P124">
        <f>K124-M124+O124</f>
        <v>12.253499999999999</v>
      </c>
    </row>
    <row r="125" spans="1:16">
      <c r="A125">
        <v>124</v>
      </c>
      <c r="B125" t="s">
        <v>168</v>
      </c>
      <c r="C125" t="s">
        <v>47</v>
      </c>
      <c r="D125">
        <v>2010</v>
      </c>
      <c r="E125" t="s">
        <v>48</v>
      </c>
      <c r="F125" t="s">
        <v>49</v>
      </c>
      <c r="G125">
        <v>2.61</v>
      </c>
      <c r="H125">
        <v>0.17</v>
      </c>
      <c r="I125">
        <v>1.03</v>
      </c>
      <c r="J125">
        <v>6.6</v>
      </c>
      <c r="K125">
        <f>SUM(G125:J125)</f>
        <v>10.41</v>
      </c>
      <c r="L125">
        <f>IF(K125&gt;20,10%,5%)</f>
        <v>0.05</v>
      </c>
      <c r="M125">
        <f>K125*L125</f>
        <v>0.52050000000000007</v>
      </c>
      <c r="N125">
        <f>LOOKUP(K125,Lookup!$A$2:$A$5,Lookup!$B$2:$B$5)</f>
        <v>0.1</v>
      </c>
      <c r="O125">
        <f>K125*N125</f>
        <v>1.0410000000000001</v>
      </c>
      <c r="P125">
        <f>K125-M125+O125</f>
        <v>10.9305</v>
      </c>
    </row>
    <row r="126" spans="1:16">
      <c r="A126">
        <v>125</v>
      </c>
      <c r="B126" t="s">
        <v>169</v>
      </c>
      <c r="C126" t="s">
        <v>72</v>
      </c>
      <c r="D126">
        <v>2014</v>
      </c>
      <c r="E126" t="s">
        <v>18</v>
      </c>
      <c r="F126" t="s">
        <v>115</v>
      </c>
      <c r="G126">
        <v>4.29</v>
      </c>
      <c r="H126">
        <v>0.05</v>
      </c>
      <c r="I126">
        <v>1.47</v>
      </c>
      <c r="J126">
        <v>6.59</v>
      </c>
      <c r="K126">
        <f>SUM(G126:J126)</f>
        <v>12.399999999999999</v>
      </c>
      <c r="L126">
        <f>IF(K126&gt;20,10%,5%)</f>
        <v>0.05</v>
      </c>
      <c r="M126">
        <f>K126*L126</f>
        <v>0.62</v>
      </c>
      <c r="N126">
        <f>LOOKUP(K126,Lookup!$A$2:$A$5,Lookup!$B$2:$B$5)</f>
        <v>0.1</v>
      </c>
      <c r="O126">
        <f>K126*N126</f>
        <v>1.24</v>
      </c>
      <c r="P126">
        <f>K126-M126+O126</f>
        <v>13.02</v>
      </c>
    </row>
    <row r="127" spans="1:16">
      <c r="A127">
        <v>126</v>
      </c>
      <c r="B127" t="s">
        <v>170</v>
      </c>
      <c r="C127" t="s">
        <v>17</v>
      </c>
      <c r="D127">
        <v>2010</v>
      </c>
      <c r="E127" t="s">
        <v>2</v>
      </c>
      <c r="F127" t="s">
        <v>19</v>
      </c>
      <c r="G127">
        <v>1.84</v>
      </c>
      <c r="H127">
        <v>1.03</v>
      </c>
      <c r="I127">
        <v>0.47</v>
      </c>
      <c r="J127">
        <v>6.59</v>
      </c>
      <c r="K127">
        <f>SUM(G127:J127)</f>
        <v>9.93</v>
      </c>
      <c r="L127">
        <f>IF(K127&gt;20,10%,5%)</f>
        <v>0.05</v>
      </c>
      <c r="M127">
        <f>K127*L127</f>
        <v>0.4965</v>
      </c>
      <c r="N127">
        <f>LOOKUP(K127,Lookup!$A$2:$A$5,Lookup!$B$2:$B$5)</f>
        <v>0.1</v>
      </c>
      <c r="O127">
        <f>K127*N127</f>
        <v>0.99299999999999999</v>
      </c>
      <c r="P127">
        <f>K127-M127+O127</f>
        <v>10.426500000000001</v>
      </c>
    </row>
    <row r="128" spans="1:16">
      <c r="A128">
        <v>127</v>
      </c>
      <c r="B128" t="s">
        <v>111</v>
      </c>
      <c r="C128" t="s">
        <v>47</v>
      </c>
      <c r="D128">
        <v>2011</v>
      </c>
      <c r="E128" t="s">
        <v>27</v>
      </c>
      <c r="F128" t="s">
        <v>112</v>
      </c>
      <c r="G128">
        <v>2.71</v>
      </c>
      <c r="H128">
        <v>0.25</v>
      </c>
      <c r="I128">
        <v>1.05</v>
      </c>
      <c r="J128">
        <v>6.56</v>
      </c>
      <c r="K128">
        <f>SUM(G128:J128)</f>
        <v>10.57</v>
      </c>
      <c r="L128">
        <f>IF(K128&gt;20,10%,5%)</f>
        <v>0.05</v>
      </c>
      <c r="M128">
        <f>K128*L128</f>
        <v>0.52850000000000008</v>
      </c>
      <c r="N128">
        <f>LOOKUP(K128,Lookup!$A$2:$A$5,Lookup!$B$2:$B$5)</f>
        <v>0.1</v>
      </c>
      <c r="O128">
        <f>K128*N128</f>
        <v>1.0570000000000002</v>
      </c>
      <c r="P128">
        <f>K128-M128+O128</f>
        <v>11.098500000000001</v>
      </c>
    </row>
    <row r="129" spans="1:16">
      <c r="A129">
        <v>128</v>
      </c>
      <c r="B129" t="s">
        <v>171</v>
      </c>
      <c r="C129" t="s">
        <v>21</v>
      </c>
      <c r="D129">
        <v>1986</v>
      </c>
      <c r="E129" t="s">
        <v>48</v>
      </c>
      <c r="F129" t="s">
        <v>19</v>
      </c>
      <c r="G129">
        <v>0.93</v>
      </c>
      <c r="H129">
        <v>1.69</v>
      </c>
      <c r="I129">
        <v>0.14000000000000001</v>
      </c>
      <c r="J129">
        <v>6.51</v>
      </c>
      <c r="K129">
        <f>SUM(G129:J129)</f>
        <v>9.27</v>
      </c>
      <c r="L129">
        <f>IF(K129&gt;20,10%,5%)</f>
        <v>0.05</v>
      </c>
      <c r="M129">
        <f>K129*L129</f>
        <v>0.46350000000000002</v>
      </c>
      <c r="N129">
        <f>LOOKUP(K129,Lookup!$A$2:$A$5,Lookup!$B$2:$B$5)</f>
        <v>0.1</v>
      </c>
      <c r="O129">
        <f>K129*N129</f>
        <v>0.92700000000000005</v>
      </c>
      <c r="P129">
        <f>K129-M129+O129</f>
        <v>9.7334999999999994</v>
      </c>
    </row>
    <row r="130" spans="1:16">
      <c r="A130">
        <v>129</v>
      </c>
      <c r="B130" t="s">
        <v>172</v>
      </c>
      <c r="C130" t="s">
        <v>47</v>
      </c>
      <c r="D130">
        <v>2012</v>
      </c>
      <c r="E130" t="s">
        <v>48</v>
      </c>
      <c r="F130" t="s">
        <v>97</v>
      </c>
      <c r="G130">
        <v>2.56</v>
      </c>
      <c r="H130">
        <v>0.16</v>
      </c>
      <c r="I130">
        <v>1.1399999999999999</v>
      </c>
      <c r="J130">
        <v>6.5</v>
      </c>
      <c r="K130">
        <f>SUM(G130:J130)</f>
        <v>10.36</v>
      </c>
      <c r="L130">
        <f>IF(K130&gt;20,10%,5%)</f>
        <v>0.05</v>
      </c>
      <c r="M130">
        <f>K130*L130</f>
        <v>0.51800000000000002</v>
      </c>
      <c r="N130">
        <f>LOOKUP(K130,Lookup!$A$2:$A$5,Lookup!$B$2:$B$5)</f>
        <v>0.1</v>
      </c>
      <c r="O130">
        <f>K130*N130</f>
        <v>1.036</v>
      </c>
      <c r="P130">
        <f>K130-M130+O130</f>
        <v>10.877999999999998</v>
      </c>
    </row>
    <row r="131" spans="1:16">
      <c r="A131">
        <v>130</v>
      </c>
      <c r="B131" t="s">
        <v>173</v>
      </c>
      <c r="C131" t="s">
        <v>118</v>
      </c>
      <c r="D131">
        <v>2001</v>
      </c>
      <c r="E131" t="s">
        <v>36</v>
      </c>
      <c r="F131" t="s">
        <v>45</v>
      </c>
      <c r="G131">
        <v>1.3</v>
      </c>
      <c r="H131">
        <v>0.08</v>
      </c>
      <c r="I131">
        <v>7.0000000000000007E-2</v>
      </c>
      <c r="J131">
        <v>6.43</v>
      </c>
      <c r="K131">
        <f>SUM(G131:J131)</f>
        <v>7.88</v>
      </c>
      <c r="L131">
        <f>IF(K131&gt;20,10%,5%)</f>
        <v>0.05</v>
      </c>
      <c r="M131">
        <f>K131*L131</f>
        <v>0.39400000000000002</v>
      </c>
      <c r="N131">
        <f>LOOKUP(K131,Lookup!$A$2:$A$5,Lookup!$B$2:$B$5)</f>
        <v>0.1</v>
      </c>
      <c r="O131">
        <f>K131*N131</f>
        <v>0.78800000000000003</v>
      </c>
      <c r="P131">
        <f>K131-M131+O131</f>
        <v>8.2739999999999991</v>
      </c>
    </row>
    <row r="132" spans="1:16">
      <c r="A132">
        <v>131</v>
      </c>
      <c r="B132" t="s">
        <v>174</v>
      </c>
      <c r="C132" t="s">
        <v>60</v>
      </c>
      <c r="D132">
        <v>2004</v>
      </c>
      <c r="E132" t="s">
        <v>27</v>
      </c>
      <c r="F132" t="s">
        <v>19</v>
      </c>
      <c r="G132">
        <v>1.58</v>
      </c>
      <c r="H132">
        <v>2.06</v>
      </c>
      <c r="I132">
        <v>0.21</v>
      </c>
      <c r="J132">
        <v>6.41</v>
      </c>
      <c r="K132">
        <f>SUM(G132:J132)</f>
        <v>10.26</v>
      </c>
      <c r="L132">
        <f>IF(K132&gt;20,10%,5%)</f>
        <v>0.05</v>
      </c>
      <c r="M132">
        <f>K132*L132</f>
        <v>0.51300000000000001</v>
      </c>
      <c r="N132">
        <f>LOOKUP(K132,Lookup!$A$2:$A$5,Lookup!$B$2:$B$5)</f>
        <v>0.1</v>
      </c>
      <c r="O132">
        <f>K132*N132</f>
        <v>1.026</v>
      </c>
      <c r="P132">
        <f>K132-M132+O132</f>
        <v>10.773</v>
      </c>
    </row>
    <row r="133" spans="1:16">
      <c r="A133">
        <v>132</v>
      </c>
      <c r="B133" t="s">
        <v>175</v>
      </c>
      <c r="C133" t="s">
        <v>51</v>
      </c>
      <c r="D133">
        <v>2002</v>
      </c>
      <c r="E133" t="s">
        <v>27</v>
      </c>
      <c r="F133" t="s">
        <v>64</v>
      </c>
      <c r="G133">
        <v>1.2</v>
      </c>
      <c r="H133">
        <v>1.49</v>
      </c>
      <c r="I133">
        <v>7.0000000000000007E-2</v>
      </c>
      <c r="J133">
        <v>6.4</v>
      </c>
      <c r="K133">
        <f>SUM(G133:J133)</f>
        <v>9.16</v>
      </c>
      <c r="L133">
        <f>IF(K133&gt;20,10%,5%)</f>
        <v>0.05</v>
      </c>
      <c r="M133">
        <f>K133*L133</f>
        <v>0.45800000000000002</v>
      </c>
      <c r="N133">
        <f>LOOKUP(K133,Lookup!$A$2:$A$5,Lookup!$B$2:$B$5)</f>
        <v>0.1</v>
      </c>
      <c r="O133">
        <f>K133*N133</f>
        <v>0.91600000000000004</v>
      </c>
      <c r="P133">
        <f>K133-M133+O133</f>
        <v>9.6180000000000003</v>
      </c>
    </row>
    <row r="134" spans="1:16">
      <c r="A134">
        <v>133</v>
      </c>
      <c r="B134" t="s">
        <v>176</v>
      </c>
      <c r="C134" t="s">
        <v>26</v>
      </c>
      <c r="D134">
        <v>2000</v>
      </c>
      <c r="E134" t="s">
        <v>27</v>
      </c>
      <c r="F134" t="s">
        <v>19</v>
      </c>
      <c r="G134">
        <v>1.56</v>
      </c>
      <c r="H134">
        <v>1.29</v>
      </c>
      <c r="I134">
        <v>0.99</v>
      </c>
      <c r="J134">
        <v>6.39</v>
      </c>
      <c r="K134">
        <f>SUM(G134:J134)</f>
        <v>10.23</v>
      </c>
      <c r="L134">
        <f>IF(K134&gt;20,10%,5%)</f>
        <v>0.05</v>
      </c>
      <c r="M134">
        <f>K134*L134</f>
        <v>0.51150000000000007</v>
      </c>
      <c r="N134">
        <f>LOOKUP(K134,Lookup!$A$2:$A$5,Lookup!$B$2:$B$5)</f>
        <v>0.1</v>
      </c>
      <c r="O134">
        <f>K134*N134</f>
        <v>1.0230000000000001</v>
      </c>
      <c r="P134">
        <f>K134-M134+O134</f>
        <v>10.7415</v>
      </c>
    </row>
    <row r="135" spans="1:16">
      <c r="A135">
        <v>134</v>
      </c>
      <c r="B135" t="s">
        <v>177</v>
      </c>
      <c r="C135" t="s">
        <v>44</v>
      </c>
      <c r="D135">
        <v>2009</v>
      </c>
      <c r="E135" t="s">
        <v>36</v>
      </c>
      <c r="F135" t="s">
        <v>45</v>
      </c>
      <c r="G135">
        <v>1.35</v>
      </c>
      <c r="H135">
        <v>0.06</v>
      </c>
      <c r="I135">
        <v>0.61</v>
      </c>
      <c r="J135">
        <v>6.36</v>
      </c>
      <c r="K135">
        <f>SUM(G135:J135)</f>
        <v>8.3800000000000008</v>
      </c>
      <c r="L135">
        <f>IF(K135&gt;20,10%,5%)</f>
        <v>0.05</v>
      </c>
      <c r="M135">
        <f>K135*L135</f>
        <v>0.41900000000000004</v>
      </c>
      <c r="N135">
        <f>LOOKUP(K135,Lookup!$A$2:$A$5,Lookup!$B$2:$B$5)</f>
        <v>0.1</v>
      </c>
      <c r="O135">
        <f>K135*N135</f>
        <v>0.83800000000000008</v>
      </c>
      <c r="P135">
        <f>K135-M135+O135</f>
        <v>8.7989999999999995</v>
      </c>
    </row>
    <row r="136" spans="1:16">
      <c r="A136">
        <v>135</v>
      </c>
      <c r="B136" t="s">
        <v>168</v>
      </c>
      <c r="C136" t="s">
        <v>44</v>
      </c>
      <c r="D136">
        <v>2010</v>
      </c>
      <c r="E136" t="s">
        <v>48</v>
      </c>
      <c r="F136" t="s">
        <v>49</v>
      </c>
      <c r="G136">
        <v>1.97</v>
      </c>
      <c r="H136">
        <v>0.09</v>
      </c>
      <c r="I136">
        <v>0.56999999999999995</v>
      </c>
      <c r="J136">
        <v>6.34</v>
      </c>
      <c r="K136">
        <f>SUM(G136:J136)</f>
        <v>8.9699999999999989</v>
      </c>
      <c r="L136">
        <f>IF(K136&gt;20,10%,5%)</f>
        <v>0.05</v>
      </c>
      <c r="M136">
        <f>K136*L136</f>
        <v>0.44849999999999995</v>
      </c>
      <c r="N136">
        <f>LOOKUP(K136,Lookup!$A$2:$A$5,Lookup!$B$2:$B$5)</f>
        <v>0.1</v>
      </c>
      <c r="O136">
        <f>K136*N136</f>
        <v>0.89699999999999991</v>
      </c>
      <c r="P136">
        <f>K136-M136+O136</f>
        <v>9.4184999999999999</v>
      </c>
    </row>
    <row r="137" spans="1:16">
      <c r="A137">
        <v>136</v>
      </c>
      <c r="B137" t="s">
        <v>178</v>
      </c>
      <c r="C137" t="s">
        <v>151</v>
      </c>
      <c r="D137">
        <v>2002</v>
      </c>
      <c r="E137" t="s">
        <v>2</v>
      </c>
      <c r="F137" t="s">
        <v>19</v>
      </c>
      <c r="G137">
        <v>1.26</v>
      </c>
      <c r="H137">
        <v>0.87</v>
      </c>
      <c r="I137">
        <v>0.17</v>
      </c>
      <c r="J137">
        <v>6.31</v>
      </c>
      <c r="K137">
        <f>SUM(G137:J137)</f>
        <v>8.61</v>
      </c>
      <c r="L137">
        <f>IF(K137&gt;20,10%,5%)</f>
        <v>0.05</v>
      </c>
      <c r="M137">
        <f>K137*L137</f>
        <v>0.43049999999999999</v>
      </c>
      <c r="N137">
        <f>LOOKUP(K137,Lookup!$A$2:$A$5,Lookup!$B$2:$B$5)</f>
        <v>0.1</v>
      </c>
      <c r="O137">
        <f>K137*N137</f>
        <v>0.86099999999999999</v>
      </c>
      <c r="P137">
        <f>K137-M137+O137</f>
        <v>9.0404999999999998</v>
      </c>
    </row>
    <row r="138" spans="1:16">
      <c r="A138">
        <v>137</v>
      </c>
      <c r="B138" t="s">
        <v>179</v>
      </c>
      <c r="C138" t="s">
        <v>53</v>
      </c>
      <c r="D138">
        <v>1992</v>
      </c>
      <c r="E138" t="s">
        <v>77</v>
      </c>
      <c r="F138" t="s">
        <v>180</v>
      </c>
      <c r="G138">
        <v>0.83</v>
      </c>
      <c r="H138">
        <v>2.87</v>
      </c>
      <c r="I138">
        <v>0.12</v>
      </c>
      <c r="J138">
        <v>6.3</v>
      </c>
      <c r="K138">
        <f>SUM(G138:J138)</f>
        <v>10.120000000000001</v>
      </c>
      <c r="L138">
        <f>IF(K138&gt;20,10%,5%)</f>
        <v>0.05</v>
      </c>
      <c r="M138">
        <f>K138*L138</f>
        <v>0.50600000000000012</v>
      </c>
      <c r="N138">
        <f>LOOKUP(K138,Lookup!$A$2:$A$5,Lookup!$B$2:$B$5)</f>
        <v>0.1</v>
      </c>
      <c r="O138">
        <f>K138*N138</f>
        <v>1.0120000000000002</v>
      </c>
      <c r="P138">
        <f>K138-M138+O138</f>
        <v>10.626000000000001</v>
      </c>
    </row>
    <row r="139" spans="1:16">
      <c r="A139">
        <v>138</v>
      </c>
      <c r="B139" t="s">
        <v>181</v>
      </c>
      <c r="C139" t="s">
        <v>123</v>
      </c>
      <c r="D139">
        <v>2004</v>
      </c>
      <c r="E139" t="s">
        <v>27</v>
      </c>
      <c r="F139" t="s">
        <v>66</v>
      </c>
      <c r="G139">
        <v>6.21</v>
      </c>
      <c r="H139">
        <v>0</v>
      </c>
      <c r="I139">
        <v>0</v>
      </c>
      <c r="J139">
        <v>6.28</v>
      </c>
      <c r="K139">
        <f>SUM(G139:J139)</f>
        <v>12.49</v>
      </c>
      <c r="L139">
        <f>IF(K139&gt;20,10%,5%)</f>
        <v>0.05</v>
      </c>
      <c r="M139">
        <f>K139*L139</f>
        <v>0.62450000000000006</v>
      </c>
      <c r="N139">
        <f>LOOKUP(K139,Lookup!$A$2:$A$5,Lookup!$B$2:$B$5)</f>
        <v>0.1</v>
      </c>
      <c r="O139">
        <f>K139*N139</f>
        <v>1.2490000000000001</v>
      </c>
      <c r="P139">
        <f>K139-M139+O139</f>
        <v>13.114500000000001</v>
      </c>
    </row>
    <row r="140" spans="1:16">
      <c r="A140">
        <v>139</v>
      </c>
      <c r="B140" t="s">
        <v>182</v>
      </c>
      <c r="C140" t="s">
        <v>91</v>
      </c>
      <c r="D140">
        <v>1999</v>
      </c>
      <c r="E140" t="s">
        <v>48</v>
      </c>
      <c r="F140" t="s">
        <v>183</v>
      </c>
      <c r="G140">
        <v>2.8</v>
      </c>
      <c r="H140">
        <v>0.02</v>
      </c>
      <c r="I140">
        <v>0.33</v>
      </c>
      <c r="J140">
        <v>6.27</v>
      </c>
      <c r="K140">
        <f>SUM(G140:J140)</f>
        <v>9.42</v>
      </c>
      <c r="L140">
        <f>IF(K140&gt;20,10%,5%)</f>
        <v>0.05</v>
      </c>
      <c r="M140">
        <f>K140*L140</f>
        <v>0.47100000000000003</v>
      </c>
      <c r="N140">
        <f>LOOKUP(K140,Lookup!$A$2:$A$5,Lookup!$B$2:$B$5)</f>
        <v>0.1</v>
      </c>
      <c r="O140">
        <f>K140*N140</f>
        <v>0.94200000000000006</v>
      </c>
      <c r="P140">
        <f>K140-M140+O140</f>
        <v>9.891</v>
      </c>
    </row>
    <row r="141" spans="1:16">
      <c r="A141">
        <v>140</v>
      </c>
      <c r="B141" t="s">
        <v>184</v>
      </c>
      <c r="C141" t="s">
        <v>44</v>
      </c>
      <c r="D141">
        <v>2010</v>
      </c>
      <c r="E141" t="s">
        <v>18</v>
      </c>
      <c r="F141" t="s">
        <v>45</v>
      </c>
      <c r="G141">
        <v>1.78</v>
      </c>
      <c r="H141">
        <v>0.03</v>
      </c>
      <c r="I141">
        <v>0.51</v>
      </c>
      <c r="J141">
        <v>6.24</v>
      </c>
      <c r="K141">
        <f>SUM(G141:J141)</f>
        <v>8.56</v>
      </c>
      <c r="L141">
        <f>IF(K141&gt;20,10%,5%)</f>
        <v>0.05</v>
      </c>
      <c r="M141">
        <f>K141*L141</f>
        <v>0.42800000000000005</v>
      </c>
      <c r="N141">
        <f>LOOKUP(K141,Lookup!$A$2:$A$5,Lookup!$B$2:$B$5)</f>
        <v>0.1</v>
      </c>
      <c r="O141">
        <f>K141*N141</f>
        <v>0.85600000000000009</v>
      </c>
      <c r="P141">
        <f>K141-M141+O141</f>
        <v>8.9879999999999995</v>
      </c>
    </row>
    <row r="142" spans="1:16">
      <c r="A142">
        <v>141</v>
      </c>
      <c r="B142" t="s">
        <v>185</v>
      </c>
      <c r="C142" t="s">
        <v>44</v>
      </c>
      <c r="D142">
        <v>2011</v>
      </c>
      <c r="E142" t="s">
        <v>36</v>
      </c>
      <c r="F142" t="s">
        <v>45</v>
      </c>
      <c r="G142">
        <v>1.62</v>
      </c>
      <c r="H142">
        <v>7.0000000000000007E-2</v>
      </c>
      <c r="I142">
        <v>0.49</v>
      </c>
      <c r="J142">
        <v>6.24</v>
      </c>
      <c r="K142">
        <f>SUM(G142:J142)</f>
        <v>8.42</v>
      </c>
      <c r="L142">
        <f>IF(K142&gt;20,10%,5%)</f>
        <v>0.05</v>
      </c>
      <c r="M142">
        <f>K142*L142</f>
        <v>0.42100000000000004</v>
      </c>
      <c r="N142">
        <f>LOOKUP(K142,Lookup!$A$2:$A$5,Lookup!$B$2:$B$5)</f>
        <v>0.1</v>
      </c>
      <c r="O142">
        <f>K142*N142</f>
        <v>0.84200000000000008</v>
      </c>
      <c r="P142">
        <f>K142-M142+O142</f>
        <v>8.8409999999999993</v>
      </c>
    </row>
    <row r="143" spans="1:16">
      <c r="A143">
        <v>142</v>
      </c>
      <c r="B143" t="s">
        <v>186</v>
      </c>
      <c r="C143" t="s">
        <v>44</v>
      </c>
      <c r="D143">
        <v>2006</v>
      </c>
      <c r="E143" t="s">
        <v>36</v>
      </c>
      <c r="F143" t="s">
        <v>45</v>
      </c>
      <c r="G143">
        <v>1.9</v>
      </c>
      <c r="H143">
        <v>7.0000000000000007E-2</v>
      </c>
      <c r="I143">
        <v>0.6</v>
      </c>
      <c r="J143">
        <v>6.11</v>
      </c>
      <c r="K143">
        <f>SUM(G143:J143)</f>
        <v>8.68</v>
      </c>
      <c r="L143">
        <f>IF(K143&gt;20,10%,5%)</f>
        <v>0.05</v>
      </c>
      <c r="M143">
        <f>K143*L143</f>
        <v>0.434</v>
      </c>
      <c r="N143">
        <f>LOOKUP(K143,Lookup!$A$2:$A$5,Lookup!$B$2:$B$5)</f>
        <v>0.1</v>
      </c>
      <c r="O143">
        <f>K143*N143</f>
        <v>0.86799999999999999</v>
      </c>
      <c r="P143">
        <f>K143-M143+O143</f>
        <v>9.1140000000000008</v>
      </c>
    </row>
    <row r="144" spans="1:16">
      <c r="A144">
        <v>143</v>
      </c>
      <c r="B144" t="s">
        <v>187</v>
      </c>
      <c r="C144" t="s">
        <v>51</v>
      </c>
      <c r="D144">
        <v>2001</v>
      </c>
      <c r="E144" t="s">
        <v>48</v>
      </c>
      <c r="F144" t="s">
        <v>188</v>
      </c>
      <c r="G144">
        <v>2.0099999999999998</v>
      </c>
      <c r="H144">
        <v>0.87</v>
      </c>
      <c r="I144">
        <v>0.72</v>
      </c>
      <c r="J144">
        <v>6.05</v>
      </c>
      <c r="K144">
        <f>SUM(G144:J144)</f>
        <v>9.6499999999999986</v>
      </c>
      <c r="L144">
        <f>IF(K144&gt;20,10%,5%)</f>
        <v>0.05</v>
      </c>
      <c r="M144">
        <f>K144*L144</f>
        <v>0.48249999999999993</v>
      </c>
      <c r="N144">
        <f>LOOKUP(K144,Lookup!$A$2:$A$5,Lookup!$B$2:$B$5)</f>
        <v>0.1</v>
      </c>
      <c r="O144">
        <f>K144*N144</f>
        <v>0.96499999999999986</v>
      </c>
      <c r="P144">
        <f>K144-M144+O144</f>
        <v>10.132499999999999</v>
      </c>
    </row>
    <row r="145" spans="1:16">
      <c r="A145">
        <v>144</v>
      </c>
      <c r="B145" t="s">
        <v>189</v>
      </c>
      <c r="C145" t="s">
        <v>190</v>
      </c>
      <c r="D145">
        <v>1992</v>
      </c>
      <c r="E145" t="s">
        <v>2</v>
      </c>
      <c r="F145" t="s">
        <v>126</v>
      </c>
      <c r="G145">
        <v>1.2</v>
      </c>
      <c r="H145">
        <v>0.16</v>
      </c>
      <c r="I145">
        <v>0.19</v>
      </c>
      <c r="J145">
        <v>6.03</v>
      </c>
      <c r="K145">
        <f>SUM(G145:J145)</f>
        <v>7.58</v>
      </c>
      <c r="L145">
        <f>IF(K145&gt;20,10%,5%)</f>
        <v>0.05</v>
      </c>
      <c r="M145">
        <f>K145*L145</f>
        <v>0.379</v>
      </c>
      <c r="N145">
        <f>LOOKUP(K145,Lookup!$A$2:$A$5,Lookup!$B$2:$B$5)</f>
        <v>0.1</v>
      </c>
      <c r="O145">
        <f>K145*N145</f>
        <v>0.75800000000000001</v>
      </c>
      <c r="P145">
        <f>K145-M145+O145</f>
        <v>7.9590000000000005</v>
      </c>
    </row>
    <row r="146" spans="1:16">
      <c r="A146">
        <v>145</v>
      </c>
      <c r="B146" t="s">
        <v>191</v>
      </c>
      <c r="C146" t="s">
        <v>47</v>
      </c>
      <c r="D146">
        <v>2008</v>
      </c>
      <c r="E146" t="s">
        <v>48</v>
      </c>
      <c r="F146" t="s">
        <v>188</v>
      </c>
      <c r="G146">
        <v>1.74</v>
      </c>
      <c r="H146">
        <v>0.83</v>
      </c>
      <c r="I146">
        <v>0.83</v>
      </c>
      <c r="J146">
        <v>6.03</v>
      </c>
      <c r="K146">
        <f>SUM(G146:J146)</f>
        <v>9.43</v>
      </c>
      <c r="L146">
        <f>IF(K146&gt;20,10%,5%)</f>
        <v>0.05</v>
      </c>
      <c r="M146">
        <f>K146*L146</f>
        <v>0.47150000000000003</v>
      </c>
      <c r="N146">
        <f>LOOKUP(K146,Lookup!$A$2:$A$5,Lookup!$B$2:$B$5)</f>
        <v>0.1</v>
      </c>
      <c r="O146">
        <f>K146*N146</f>
        <v>0.94300000000000006</v>
      </c>
      <c r="P146">
        <f>K146-M146+O146</f>
        <v>9.9014999999999986</v>
      </c>
    </row>
    <row r="147" spans="1:16">
      <c r="A147">
        <v>146</v>
      </c>
      <c r="B147" t="s">
        <v>192</v>
      </c>
      <c r="C147" t="s">
        <v>91</v>
      </c>
      <c r="D147">
        <v>1998</v>
      </c>
      <c r="E147" t="s">
        <v>48</v>
      </c>
      <c r="F147" t="s">
        <v>188</v>
      </c>
      <c r="G147">
        <v>1.83</v>
      </c>
      <c r="H147">
        <v>0.78</v>
      </c>
      <c r="I147">
        <v>0.24</v>
      </c>
      <c r="J147">
        <v>6.03</v>
      </c>
      <c r="K147">
        <f>SUM(G147:J147)</f>
        <v>8.8800000000000008</v>
      </c>
      <c r="L147">
        <f>IF(K147&gt;20,10%,5%)</f>
        <v>0.05</v>
      </c>
      <c r="M147">
        <f>K147*L147</f>
        <v>0.44400000000000006</v>
      </c>
      <c r="N147">
        <f>LOOKUP(K147,Lookup!$A$2:$A$5,Lookup!$B$2:$B$5)</f>
        <v>0.1</v>
      </c>
      <c r="O147">
        <f>K147*N147</f>
        <v>0.88800000000000012</v>
      </c>
      <c r="P147">
        <f>K147-M147+O147</f>
        <v>9.3239999999999998</v>
      </c>
    </row>
    <row r="148" spans="1:16">
      <c r="A148">
        <v>147</v>
      </c>
      <c r="B148" t="s">
        <v>193</v>
      </c>
      <c r="C148" t="s">
        <v>47</v>
      </c>
      <c r="D148">
        <v>2013</v>
      </c>
      <c r="E148" t="s">
        <v>48</v>
      </c>
      <c r="F148" t="s">
        <v>194</v>
      </c>
      <c r="G148">
        <v>2.2799999999999998</v>
      </c>
      <c r="H148">
        <v>0.28000000000000003</v>
      </c>
      <c r="I148">
        <v>1.01</v>
      </c>
      <c r="J148">
        <v>5.99</v>
      </c>
      <c r="K148">
        <f>SUM(G148:J148)</f>
        <v>9.5599999999999987</v>
      </c>
      <c r="L148">
        <f>IF(K148&gt;20,10%,5%)</f>
        <v>0.05</v>
      </c>
      <c r="M148">
        <f>K148*L148</f>
        <v>0.47799999999999998</v>
      </c>
      <c r="N148">
        <f>LOOKUP(K148,Lookup!$A$2:$A$5,Lookup!$B$2:$B$5)</f>
        <v>0.1</v>
      </c>
      <c r="O148">
        <f>K148*N148</f>
        <v>0.95599999999999996</v>
      </c>
      <c r="P148">
        <f>K148-M148+O148</f>
        <v>10.037999999999998</v>
      </c>
    </row>
    <row r="149" spans="1:16">
      <c r="A149">
        <v>148</v>
      </c>
      <c r="B149" t="s">
        <v>195</v>
      </c>
      <c r="C149" t="s">
        <v>51</v>
      </c>
      <c r="D149">
        <v>2006</v>
      </c>
      <c r="E149" t="s">
        <v>27</v>
      </c>
      <c r="F149" t="s">
        <v>196</v>
      </c>
      <c r="G149">
        <v>0</v>
      </c>
      <c r="H149">
        <v>2.33</v>
      </c>
      <c r="I149">
        <v>1.74</v>
      </c>
      <c r="J149">
        <v>5.95</v>
      </c>
      <c r="K149">
        <f>SUM(G149:J149)</f>
        <v>10.02</v>
      </c>
      <c r="L149">
        <f>IF(K149&gt;20,10%,5%)</f>
        <v>0.05</v>
      </c>
      <c r="M149">
        <f>K149*L149</f>
        <v>0.501</v>
      </c>
      <c r="N149">
        <f>LOOKUP(K149,Lookup!$A$2:$A$5,Lookup!$B$2:$B$5)</f>
        <v>0.1</v>
      </c>
      <c r="O149">
        <f>K149*N149</f>
        <v>1.002</v>
      </c>
      <c r="P149">
        <f>K149-M149+O149</f>
        <v>10.521000000000001</v>
      </c>
    </row>
    <row r="150" spans="1:16">
      <c r="A150">
        <v>149</v>
      </c>
      <c r="B150" t="s">
        <v>197</v>
      </c>
      <c r="C150" t="s">
        <v>47</v>
      </c>
      <c r="D150">
        <v>2008</v>
      </c>
      <c r="E150" t="s">
        <v>2</v>
      </c>
      <c r="F150" t="s">
        <v>64</v>
      </c>
      <c r="G150">
        <v>2.0499999999999998</v>
      </c>
      <c r="H150">
        <v>0.17</v>
      </c>
      <c r="I150">
        <v>0.9</v>
      </c>
      <c r="J150">
        <v>5.92</v>
      </c>
      <c r="K150">
        <f>SUM(G150:J150)</f>
        <v>9.0399999999999991</v>
      </c>
      <c r="L150">
        <f>IF(K150&gt;20,10%,5%)</f>
        <v>0.05</v>
      </c>
      <c r="M150">
        <f>K150*L150</f>
        <v>0.45199999999999996</v>
      </c>
      <c r="N150">
        <f>LOOKUP(K150,Lookup!$A$2:$A$5,Lookup!$B$2:$B$5)</f>
        <v>0.1</v>
      </c>
      <c r="O150">
        <f>K150*N150</f>
        <v>0.90399999999999991</v>
      </c>
      <c r="P150">
        <f>K150-M150+O150</f>
        <v>9.4919999999999991</v>
      </c>
    </row>
    <row r="151" spans="1:16">
      <c r="A151">
        <v>150</v>
      </c>
      <c r="B151" t="s">
        <v>198</v>
      </c>
      <c r="C151" t="s">
        <v>31</v>
      </c>
      <c r="D151">
        <v>2009</v>
      </c>
      <c r="E151" t="s">
        <v>27</v>
      </c>
      <c r="F151" t="s">
        <v>19</v>
      </c>
      <c r="G151">
        <v>0.69</v>
      </c>
      <c r="H151">
        <v>4.3499999999999996</v>
      </c>
      <c r="I151">
        <v>0.15</v>
      </c>
      <c r="J151">
        <v>5.84</v>
      </c>
      <c r="K151">
        <f>SUM(G151:J151)</f>
        <v>11.03</v>
      </c>
      <c r="L151">
        <f>IF(K151&gt;20,10%,5%)</f>
        <v>0.05</v>
      </c>
      <c r="M151">
        <f>K151*L151</f>
        <v>0.55149999999999999</v>
      </c>
      <c r="N151">
        <f>LOOKUP(K151,Lookup!$A$2:$A$5,Lookup!$B$2:$B$5)</f>
        <v>0.1</v>
      </c>
      <c r="O151">
        <f>K151*N151</f>
        <v>1.103</v>
      </c>
      <c r="P151">
        <f>K151-M151+O151</f>
        <v>11.581499999999998</v>
      </c>
    </row>
    <row r="152" spans="1:16">
      <c r="A152">
        <v>151</v>
      </c>
      <c r="B152" t="s">
        <v>199</v>
      </c>
      <c r="C152" t="s">
        <v>17</v>
      </c>
      <c r="D152">
        <v>2007</v>
      </c>
      <c r="E152" t="s">
        <v>48</v>
      </c>
      <c r="F152" t="s">
        <v>200</v>
      </c>
      <c r="G152">
        <v>1.63</v>
      </c>
      <c r="H152">
        <v>0</v>
      </c>
      <c r="I152">
        <v>0.53</v>
      </c>
      <c r="J152">
        <v>5.83</v>
      </c>
      <c r="K152">
        <f>SUM(G152:J152)</f>
        <v>7.99</v>
      </c>
      <c r="L152">
        <f>IF(K152&gt;20,10%,5%)</f>
        <v>0.05</v>
      </c>
      <c r="M152">
        <f>K152*L152</f>
        <v>0.39950000000000002</v>
      </c>
      <c r="N152">
        <f>LOOKUP(K152,Lookup!$A$2:$A$5,Lookup!$B$2:$B$5)</f>
        <v>0.1</v>
      </c>
      <c r="O152">
        <f>K152*N152</f>
        <v>0.79900000000000004</v>
      </c>
      <c r="P152">
        <f>K152-M152+O152</f>
        <v>8.3895</v>
      </c>
    </row>
    <row r="153" spans="1:16">
      <c r="A153">
        <v>152</v>
      </c>
      <c r="B153" t="s">
        <v>201</v>
      </c>
      <c r="C153" t="s">
        <v>91</v>
      </c>
      <c r="D153">
        <v>1998</v>
      </c>
      <c r="E153" t="s">
        <v>48</v>
      </c>
      <c r="F153" t="s">
        <v>202</v>
      </c>
      <c r="G153">
        <v>1.47</v>
      </c>
      <c r="H153">
        <v>2.02</v>
      </c>
      <c r="I153">
        <v>0.45</v>
      </c>
      <c r="J153">
        <v>5.82</v>
      </c>
      <c r="K153">
        <f>SUM(G153:J153)</f>
        <v>9.7600000000000016</v>
      </c>
      <c r="L153">
        <f>IF(K153&gt;20,10%,5%)</f>
        <v>0.05</v>
      </c>
      <c r="M153">
        <f>K153*L153</f>
        <v>0.4880000000000001</v>
      </c>
      <c r="N153">
        <f>LOOKUP(K153,Lookup!$A$2:$A$5,Lookup!$B$2:$B$5)</f>
        <v>0.1</v>
      </c>
      <c r="O153">
        <f>K153*N153</f>
        <v>0.9760000000000002</v>
      </c>
      <c r="P153">
        <f>K153-M153+O153</f>
        <v>10.248000000000003</v>
      </c>
    </row>
    <row r="154" spans="1:16">
      <c r="A154">
        <v>153</v>
      </c>
      <c r="B154" t="s">
        <v>203</v>
      </c>
      <c r="C154" t="s">
        <v>91</v>
      </c>
      <c r="D154">
        <v>1996</v>
      </c>
      <c r="E154" t="s">
        <v>77</v>
      </c>
      <c r="F154" t="s">
        <v>64</v>
      </c>
      <c r="G154">
        <v>1.89</v>
      </c>
      <c r="H154">
        <v>1.36</v>
      </c>
      <c r="I154">
        <v>0.23</v>
      </c>
      <c r="J154">
        <v>5.74</v>
      </c>
      <c r="K154">
        <f>SUM(G154:J154)</f>
        <v>9.2200000000000006</v>
      </c>
      <c r="L154">
        <f>IF(K154&gt;20,10%,5%)</f>
        <v>0.05</v>
      </c>
      <c r="M154">
        <f>K154*L154</f>
        <v>0.46100000000000008</v>
      </c>
      <c r="N154">
        <f>LOOKUP(K154,Lookup!$A$2:$A$5,Lookup!$B$2:$B$5)</f>
        <v>0.1</v>
      </c>
      <c r="O154">
        <f>K154*N154</f>
        <v>0.92200000000000015</v>
      </c>
      <c r="P154">
        <f>K154-M154+O154</f>
        <v>9.6810000000000009</v>
      </c>
    </row>
    <row r="155" spans="1:16">
      <c r="A155">
        <v>154</v>
      </c>
      <c r="B155" t="s">
        <v>204</v>
      </c>
      <c r="C155" t="s">
        <v>31</v>
      </c>
      <c r="D155">
        <v>2006</v>
      </c>
      <c r="E155" t="s">
        <v>38</v>
      </c>
      <c r="F155" t="s">
        <v>163</v>
      </c>
      <c r="G155">
        <v>1.94</v>
      </c>
      <c r="H155">
        <v>7.0000000000000007E-2</v>
      </c>
      <c r="I155">
        <v>0.57999999999999996</v>
      </c>
      <c r="J155">
        <v>5.72</v>
      </c>
      <c r="K155">
        <f>SUM(G155:J155)</f>
        <v>8.3099999999999987</v>
      </c>
      <c r="L155">
        <f>IF(K155&gt;20,10%,5%)</f>
        <v>0.05</v>
      </c>
      <c r="M155">
        <f>K155*L155</f>
        <v>0.41549999999999998</v>
      </c>
      <c r="N155">
        <f>LOOKUP(K155,Lookup!$A$2:$A$5,Lookup!$B$2:$B$5)</f>
        <v>0.1</v>
      </c>
      <c r="O155">
        <f>K155*N155</f>
        <v>0.83099999999999996</v>
      </c>
      <c r="P155">
        <f>K155-M155+O155</f>
        <v>8.7254999999999985</v>
      </c>
    </row>
    <row r="156" spans="1:16">
      <c r="A156">
        <v>155</v>
      </c>
      <c r="B156" t="s">
        <v>205</v>
      </c>
      <c r="C156" t="s">
        <v>72</v>
      </c>
      <c r="D156">
        <v>2014</v>
      </c>
      <c r="E156" t="s">
        <v>36</v>
      </c>
      <c r="F156" t="s">
        <v>66</v>
      </c>
      <c r="G156">
        <v>2.0499999999999998</v>
      </c>
      <c r="H156">
        <v>0.16</v>
      </c>
      <c r="I156">
        <v>0.96</v>
      </c>
      <c r="J156">
        <v>5.65</v>
      </c>
      <c r="K156">
        <f>SUM(G156:J156)</f>
        <v>8.82</v>
      </c>
      <c r="L156">
        <f>IF(K156&gt;20,10%,5%)</f>
        <v>0.05</v>
      </c>
      <c r="M156">
        <f>K156*L156</f>
        <v>0.44100000000000006</v>
      </c>
      <c r="N156">
        <f>LOOKUP(K156,Lookup!$A$2:$A$5,Lookup!$B$2:$B$5)</f>
        <v>0.1</v>
      </c>
      <c r="O156">
        <f>K156*N156</f>
        <v>0.88200000000000012</v>
      </c>
      <c r="P156">
        <f>K156-M156+O156</f>
        <v>9.2609999999999992</v>
      </c>
    </row>
    <row r="157" spans="1:16">
      <c r="A157">
        <v>156</v>
      </c>
      <c r="B157" t="s">
        <v>28</v>
      </c>
      <c r="C157" t="s">
        <v>21</v>
      </c>
      <c r="D157">
        <v>1988</v>
      </c>
      <c r="E157" t="s">
        <v>29</v>
      </c>
      <c r="F157" t="s">
        <v>19</v>
      </c>
      <c r="G157">
        <v>0.69</v>
      </c>
      <c r="H157">
        <v>1.81</v>
      </c>
      <c r="I157">
        <v>0.11</v>
      </c>
      <c r="J157">
        <v>5.58</v>
      </c>
      <c r="K157">
        <f>SUM(G157:J157)</f>
        <v>8.19</v>
      </c>
      <c r="L157">
        <f>IF(K157&gt;20,10%,5%)</f>
        <v>0.05</v>
      </c>
      <c r="M157">
        <f>K157*L157</f>
        <v>0.40949999999999998</v>
      </c>
      <c r="N157">
        <f>LOOKUP(K157,Lookup!$A$2:$A$5,Lookup!$B$2:$B$5)</f>
        <v>0.1</v>
      </c>
      <c r="O157">
        <f>K157*N157</f>
        <v>0.81899999999999995</v>
      </c>
      <c r="P157">
        <f>K157-M157+O157</f>
        <v>8.599499999999999</v>
      </c>
    </row>
    <row r="158" spans="1:16">
      <c r="A158">
        <v>157</v>
      </c>
      <c r="B158" t="s">
        <v>206</v>
      </c>
      <c r="C158" t="s">
        <v>47</v>
      </c>
      <c r="D158">
        <v>2009</v>
      </c>
      <c r="E158" t="s">
        <v>48</v>
      </c>
      <c r="F158" t="s">
        <v>97</v>
      </c>
      <c r="G158">
        <v>1.95</v>
      </c>
      <c r="H158">
        <v>0.21</v>
      </c>
      <c r="I158">
        <v>0.87</v>
      </c>
      <c r="J158">
        <v>5.57</v>
      </c>
      <c r="K158">
        <f>SUM(G158:J158)</f>
        <v>8.6000000000000014</v>
      </c>
      <c r="L158">
        <f>IF(K158&gt;20,10%,5%)</f>
        <v>0.05</v>
      </c>
      <c r="M158">
        <f>K158*L158</f>
        <v>0.4300000000000001</v>
      </c>
      <c r="N158">
        <f>LOOKUP(K158,Lookup!$A$2:$A$5,Lookup!$B$2:$B$5)</f>
        <v>0.1</v>
      </c>
      <c r="O158">
        <f>K158*N158</f>
        <v>0.86000000000000021</v>
      </c>
      <c r="P158">
        <f>K158-M158+O158</f>
        <v>9.0300000000000011</v>
      </c>
    </row>
    <row r="159" spans="1:16">
      <c r="A159">
        <v>158</v>
      </c>
      <c r="B159" t="s">
        <v>207</v>
      </c>
      <c r="C159" t="s">
        <v>83</v>
      </c>
      <c r="D159">
        <v>1999</v>
      </c>
      <c r="E159" t="s">
        <v>77</v>
      </c>
      <c r="F159" t="s">
        <v>19</v>
      </c>
      <c r="G159">
        <v>0.6</v>
      </c>
      <c r="H159">
        <v>1.97</v>
      </c>
      <c r="I159">
        <v>0.04</v>
      </c>
      <c r="J159">
        <v>5.55</v>
      </c>
      <c r="K159">
        <f>SUM(G159:J159)</f>
        <v>8.16</v>
      </c>
      <c r="L159">
        <f>IF(K159&gt;20,10%,5%)</f>
        <v>0.05</v>
      </c>
      <c r="M159">
        <f>K159*L159</f>
        <v>0.40800000000000003</v>
      </c>
      <c r="N159">
        <f>LOOKUP(K159,Lookup!$A$2:$A$5,Lookup!$B$2:$B$5)</f>
        <v>0.1</v>
      </c>
      <c r="O159">
        <f>K159*N159</f>
        <v>0.81600000000000006</v>
      </c>
      <c r="P159">
        <f>K159-M159+O159</f>
        <v>8.5679999999999996</v>
      </c>
    </row>
    <row r="160" spans="1:16">
      <c r="A160">
        <v>159</v>
      </c>
      <c r="B160" t="s">
        <v>208</v>
      </c>
      <c r="C160" t="s">
        <v>44</v>
      </c>
      <c r="D160">
        <v>2007</v>
      </c>
      <c r="E160" t="s">
        <v>88</v>
      </c>
      <c r="F160" t="s">
        <v>97</v>
      </c>
      <c r="G160">
        <v>1.65</v>
      </c>
      <c r="H160">
        <v>7.0000000000000007E-2</v>
      </c>
      <c r="I160">
        <v>0.55000000000000004</v>
      </c>
      <c r="J160">
        <v>5.55</v>
      </c>
      <c r="K160">
        <f>SUM(G160:J160)</f>
        <v>7.82</v>
      </c>
      <c r="L160">
        <f>IF(K160&gt;20,10%,5%)</f>
        <v>0.05</v>
      </c>
      <c r="M160">
        <f>K160*L160</f>
        <v>0.39100000000000001</v>
      </c>
      <c r="N160">
        <f>LOOKUP(K160,Lookup!$A$2:$A$5,Lookup!$B$2:$B$5)</f>
        <v>0.1</v>
      </c>
      <c r="O160">
        <f>K160*N160</f>
        <v>0.78200000000000003</v>
      </c>
      <c r="P160">
        <f>K160-M160+O160</f>
        <v>8.2110000000000003</v>
      </c>
    </row>
    <row r="161" spans="1:16">
      <c r="A161">
        <v>160</v>
      </c>
      <c r="B161" t="s">
        <v>209</v>
      </c>
      <c r="C161" t="s">
        <v>47</v>
      </c>
      <c r="D161">
        <v>2011</v>
      </c>
      <c r="E161" t="s">
        <v>48</v>
      </c>
      <c r="F161" t="s">
        <v>210</v>
      </c>
      <c r="G161">
        <v>1.91</v>
      </c>
      <c r="H161">
        <v>0.11</v>
      </c>
      <c r="I161">
        <v>0.8</v>
      </c>
      <c r="J161">
        <v>5.53</v>
      </c>
      <c r="K161">
        <f>SUM(G161:J161)</f>
        <v>8.3500000000000014</v>
      </c>
      <c r="L161">
        <f>IF(K161&gt;20,10%,5%)</f>
        <v>0.05</v>
      </c>
      <c r="M161">
        <f>K161*L161</f>
        <v>0.41750000000000009</v>
      </c>
      <c r="N161">
        <f>LOOKUP(K161,Lookup!$A$2:$A$5,Lookup!$B$2:$B$5)</f>
        <v>0.1</v>
      </c>
      <c r="O161">
        <f>K161*N161</f>
        <v>0.83500000000000019</v>
      </c>
      <c r="P161">
        <f>K161-M161+O161</f>
        <v>8.7675000000000018</v>
      </c>
    </row>
    <row r="162" spans="1:16">
      <c r="A162">
        <v>161</v>
      </c>
      <c r="B162" t="s">
        <v>211</v>
      </c>
      <c r="C162" t="s">
        <v>44</v>
      </c>
      <c r="D162">
        <v>2009</v>
      </c>
      <c r="E162" t="s">
        <v>23</v>
      </c>
      <c r="F162" t="s">
        <v>45</v>
      </c>
      <c r="G162">
        <v>1.92</v>
      </c>
      <c r="H162">
        <v>0.1</v>
      </c>
      <c r="I162">
        <v>0.51</v>
      </c>
      <c r="J162">
        <v>5.51</v>
      </c>
      <c r="K162">
        <f>SUM(G162:J162)</f>
        <v>8.0399999999999991</v>
      </c>
      <c r="L162">
        <f>IF(K162&gt;20,10%,5%)</f>
        <v>0.05</v>
      </c>
      <c r="M162">
        <f>K162*L162</f>
        <v>0.40199999999999997</v>
      </c>
      <c r="N162">
        <f>LOOKUP(K162,Lookup!$A$2:$A$5,Lookup!$B$2:$B$5)</f>
        <v>0.1</v>
      </c>
      <c r="O162">
        <f>K162*N162</f>
        <v>0.80399999999999994</v>
      </c>
      <c r="P162">
        <f>K162-M162+O162</f>
        <v>8.4419999999999984</v>
      </c>
    </row>
    <row r="163" spans="1:16">
      <c r="A163">
        <v>162</v>
      </c>
      <c r="B163" t="s">
        <v>212</v>
      </c>
      <c r="C163" t="s">
        <v>134</v>
      </c>
      <c r="D163">
        <v>2008</v>
      </c>
      <c r="E163" t="s">
        <v>27</v>
      </c>
      <c r="F163" t="s">
        <v>180</v>
      </c>
      <c r="G163">
        <v>0.56999999999999995</v>
      </c>
      <c r="H163">
        <v>4.13</v>
      </c>
      <c r="I163">
        <v>0.34</v>
      </c>
      <c r="J163">
        <v>5.5</v>
      </c>
      <c r="K163">
        <f>SUM(G163:J163)</f>
        <v>10.54</v>
      </c>
      <c r="L163">
        <f>IF(K163&gt;20,10%,5%)</f>
        <v>0.05</v>
      </c>
      <c r="M163">
        <f>K163*L163</f>
        <v>0.52700000000000002</v>
      </c>
      <c r="N163">
        <f>LOOKUP(K163,Lookup!$A$2:$A$5,Lookup!$B$2:$B$5)</f>
        <v>0.1</v>
      </c>
      <c r="O163">
        <f>K163*N163</f>
        <v>1.054</v>
      </c>
      <c r="P163">
        <f>K163-M163+O163</f>
        <v>11.067</v>
      </c>
    </row>
    <row r="164" spans="1:16">
      <c r="A164">
        <v>163</v>
      </c>
      <c r="B164" t="s">
        <v>213</v>
      </c>
      <c r="C164" t="s">
        <v>60</v>
      </c>
      <c r="D164">
        <v>2001</v>
      </c>
      <c r="E164" t="s">
        <v>2</v>
      </c>
      <c r="F164" t="s">
        <v>19</v>
      </c>
      <c r="G164">
        <v>1.24</v>
      </c>
      <c r="H164">
        <v>0.91</v>
      </c>
      <c r="I164">
        <v>0.2</v>
      </c>
      <c r="J164">
        <v>5.49</v>
      </c>
      <c r="K164">
        <f>SUM(G164:J164)</f>
        <v>7.84</v>
      </c>
      <c r="L164">
        <f>IF(K164&gt;20,10%,5%)</f>
        <v>0.05</v>
      </c>
      <c r="M164">
        <f>K164*L164</f>
        <v>0.39200000000000002</v>
      </c>
      <c r="N164">
        <f>LOOKUP(K164,Lookup!$A$2:$A$5,Lookup!$B$2:$B$5)</f>
        <v>0.1</v>
      </c>
      <c r="O164">
        <f>K164*N164</f>
        <v>0.78400000000000003</v>
      </c>
      <c r="P164">
        <f>K164-M164+O164</f>
        <v>8.2319999999999993</v>
      </c>
    </row>
    <row r="165" spans="1:16">
      <c r="A165">
        <v>164</v>
      </c>
      <c r="B165" t="s">
        <v>214</v>
      </c>
      <c r="C165" t="s">
        <v>60</v>
      </c>
      <c r="D165">
        <v>2001</v>
      </c>
      <c r="E165" t="s">
        <v>23</v>
      </c>
      <c r="F165" t="s">
        <v>19</v>
      </c>
      <c r="G165">
        <v>1.64</v>
      </c>
      <c r="H165">
        <v>0.99</v>
      </c>
      <c r="I165">
        <v>0.23</v>
      </c>
      <c r="J165">
        <v>5.47</v>
      </c>
      <c r="K165">
        <f>SUM(G165:J165)</f>
        <v>8.33</v>
      </c>
      <c r="L165">
        <f>IF(K165&gt;20,10%,5%)</f>
        <v>0.05</v>
      </c>
      <c r="M165">
        <f>K165*L165</f>
        <v>0.41650000000000004</v>
      </c>
      <c r="N165">
        <f>LOOKUP(K165,Lookup!$A$2:$A$5,Lookup!$B$2:$B$5)</f>
        <v>0.1</v>
      </c>
      <c r="O165">
        <f>K165*N165</f>
        <v>0.83300000000000007</v>
      </c>
      <c r="P165">
        <f>K165-M165+O165</f>
        <v>8.7464999999999993</v>
      </c>
    </row>
    <row r="166" spans="1:16">
      <c r="A166">
        <v>165</v>
      </c>
      <c r="B166" t="s">
        <v>52</v>
      </c>
      <c r="C166" t="s">
        <v>60</v>
      </c>
      <c r="D166">
        <v>2001</v>
      </c>
      <c r="E166" t="s">
        <v>2</v>
      </c>
      <c r="F166" t="s">
        <v>19</v>
      </c>
      <c r="G166">
        <v>1.1100000000000001</v>
      </c>
      <c r="H166">
        <v>0.95</v>
      </c>
      <c r="I166">
        <v>0.2</v>
      </c>
      <c r="J166">
        <v>5.46</v>
      </c>
      <c r="K166">
        <f>SUM(G166:J166)</f>
        <v>7.7200000000000006</v>
      </c>
      <c r="L166">
        <f>IF(K166&gt;20,10%,5%)</f>
        <v>0.05</v>
      </c>
      <c r="M166">
        <f>K166*L166</f>
        <v>0.38600000000000007</v>
      </c>
      <c r="N166">
        <f>LOOKUP(K166,Lookup!$A$2:$A$5,Lookup!$B$2:$B$5)</f>
        <v>0.1</v>
      </c>
      <c r="O166">
        <f>K166*N166</f>
        <v>0.77200000000000013</v>
      </c>
      <c r="P166">
        <f>K166-M166+O166</f>
        <v>8.1059999999999999</v>
      </c>
    </row>
    <row r="167" spans="1:16">
      <c r="A167">
        <v>166</v>
      </c>
      <c r="B167" t="s">
        <v>215</v>
      </c>
      <c r="C167" t="s">
        <v>83</v>
      </c>
      <c r="D167">
        <v>1999</v>
      </c>
      <c r="E167" t="s">
        <v>216</v>
      </c>
      <c r="F167" t="s">
        <v>19</v>
      </c>
      <c r="G167">
        <v>1.24</v>
      </c>
      <c r="H167">
        <v>0.94</v>
      </c>
      <c r="I167">
        <v>0.09</v>
      </c>
      <c r="J167">
        <v>5.45</v>
      </c>
      <c r="K167">
        <f>SUM(G167:J167)</f>
        <v>7.72</v>
      </c>
      <c r="L167">
        <f>IF(K167&gt;20,10%,5%)</f>
        <v>0.05</v>
      </c>
      <c r="M167">
        <f>K167*L167</f>
        <v>0.38600000000000001</v>
      </c>
      <c r="N167">
        <f>LOOKUP(K167,Lookup!$A$2:$A$5,Lookup!$B$2:$B$5)</f>
        <v>0.1</v>
      </c>
      <c r="O167">
        <f>K167*N167</f>
        <v>0.77200000000000002</v>
      </c>
      <c r="P167">
        <f>K167-M167+O167</f>
        <v>8.1059999999999999</v>
      </c>
    </row>
    <row r="168" spans="1:16">
      <c r="A168">
        <v>167</v>
      </c>
      <c r="B168" t="s">
        <v>142</v>
      </c>
      <c r="C168" t="s">
        <v>47</v>
      </c>
      <c r="D168">
        <v>2008</v>
      </c>
      <c r="E168" t="s">
        <v>36</v>
      </c>
      <c r="F168" t="s">
        <v>66</v>
      </c>
      <c r="G168">
        <v>1.87</v>
      </c>
      <c r="H168">
        <v>0</v>
      </c>
      <c r="I168">
        <v>0.84</v>
      </c>
      <c r="J168">
        <v>5.43</v>
      </c>
      <c r="K168">
        <f>SUM(G168:J168)</f>
        <v>8.14</v>
      </c>
      <c r="L168">
        <f>IF(K168&gt;20,10%,5%)</f>
        <v>0.05</v>
      </c>
      <c r="M168">
        <f>K168*L168</f>
        <v>0.40700000000000003</v>
      </c>
      <c r="N168">
        <f>LOOKUP(K168,Lookup!$A$2:$A$5,Lookup!$B$2:$B$5)</f>
        <v>0.1</v>
      </c>
      <c r="O168">
        <f>K168*N168</f>
        <v>0.81400000000000006</v>
      </c>
      <c r="P168">
        <f>K168-M168+O168</f>
        <v>8.5470000000000006</v>
      </c>
    </row>
    <row r="169" spans="1:16">
      <c r="A169">
        <v>168</v>
      </c>
      <c r="B169" t="s">
        <v>217</v>
      </c>
      <c r="C169" t="s">
        <v>51</v>
      </c>
      <c r="D169">
        <v>2001</v>
      </c>
      <c r="E169" t="s">
        <v>2</v>
      </c>
      <c r="F169" t="s">
        <v>218</v>
      </c>
      <c r="G169">
        <v>2.29</v>
      </c>
      <c r="H169">
        <v>0.24</v>
      </c>
      <c r="I169">
        <v>0.82</v>
      </c>
      <c r="J169">
        <v>5.42</v>
      </c>
      <c r="K169">
        <f>SUM(G169:J169)</f>
        <v>8.77</v>
      </c>
      <c r="L169">
        <f>IF(K169&gt;20,10%,5%)</f>
        <v>0.05</v>
      </c>
      <c r="M169">
        <f>K169*L169</f>
        <v>0.4385</v>
      </c>
      <c r="N169">
        <f>LOOKUP(K169,Lookup!$A$2:$A$5,Lookup!$B$2:$B$5)</f>
        <v>0.1</v>
      </c>
      <c r="O169">
        <f>K169*N169</f>
        <v>0.877</v>
      </c>
      <c r="P169">
        <f>K169-M169+O169</f>
        <v>9.2085000000000008</v>
      </c>
    </row>
    <row r="170" spans="1:16">
      <c r="A170">
        <v>169</v>
      </c>
      <c r="B170" t="s">
        <v>108</v>
      </c>
      <c r="C170" t="s">
        <v>47</v>
      </c>
      <c r="D170">
        <v>2014</v>
      </c>
      <c r="E170" t="s">
        <v>33</v>
      </c>
      <c r="F170" t="s">
        <v>64</v>
      </c>
      <c r="G170">
        <v>2.5099999999999998</v>
      </c>
      <c r="H170">
        <v>0</v>
      </c>
      <c r="I170">
        <v>0.94</v>
      </c>
      <c r="J170">
        <v>5.42</v>
      </c>
      <c r="K170">
        <f>SUM(G170:J170)</f>
        <v>8.8699999999999992</v>
      </c>
      <c r="L170">
        <f>IF(K170&gt;20,10%,5%)</f>
        <v>0.05</v>
      </c>
      <c r="M170">
        <f>K170*L170</f>
        <v>0.44350000000000001</v>
      </c>
      <c r="N170">
        <f>LOOKUP(K170,Lookup!$A$2:$A$5,Lookup!$B$2:$B$5)</f>
        <v>0.1</v>
      </c>
      <c r="O170">
        <f>K170*N170</f>
        <v>0.88700000000000001</v>
      </c>
      <c r="P170">
        <f>K170-M170+O170</f>
        <v>9.3134999999999994</v>
      </c>
    </row>
    <row r="171" spans="1:16">
      <c r="A171">
        <v>170</v>
      </c>
      <c r="B171" t="s">
        <v>219</v>
      </c>
      <c r="C171" t="s">
        <v>47</v>
      </c>
      <c r="D171">
        <v>2009</v>
      </c>
      <c r="E171" t="s">
        <v>27</v>
      </c>
      <c r="F171" t="s">
        <v>196</v>
      </c>
      <c r="G171">
        <v>1.24</v>
      </c>
      <c r="H171">
        <v>1.87</v>
      </c>
      <c r="I171">
        <v>0.52</v>
      </c>
      <c r="J171">
        <v>5.36</v>
      </c>
      <c r="K171">
        <f>SUM(G171:J171)</f>
        <v>8.99</v>
      </c>
      <c r="L171">
        <f>IF(K171&gt;20,10%,5%)</f>
        <v>0.05</v>
      </c>
      <c r="M171">
        <f>K171*L171</f>
        <v>0.44950000000000001</v>
      </c>
      <c r="N171">
        <f>LOOKUP(K171,Lookup!$A$2:$A$5,Lookup!$B$2:$B$5)</f>
        <v>0.1</v>
      </c>
      <c r="O171">
        <f>K171*N171</f>
        <v>0.89900000000000002</v>
      </c>
      <c r="P171">
        <f>K171-M171+O171</f>
        <v>9.4394999999999989</v>
      </c>
    </row>
    <row r="172" spans="1:16">
      <c r="A172">
        <v>171</v>
      </c>
      <c r="B172" t="s">
        <v>220</v>
      </c>
      <c r="C172" t="s">
        <v>26</v>
      </c>
      <c r="D172">
        <v>1989</v>
      </c>
      <c r="E172" t="s">
        <v>29</v>
      </c>
      <c r="F172" t="s">
        <v>19</v>
      </c>
      <c r="G172">
        <v>0.96</v>
      </c>
      <c r="H172">
        <v>2</v>
      </c>
      <c r="I172">
        <v>0.2</v>
      </c>
      <c r="J172">
        <v>5.34</v>
      </c>
      <c r="K172">
        <f>SUM(G172:J172)</f>
        <v>8.5</v>
      </c>
      <c r="L172">
        <f>IF(K172&gt;20,10%,5%)</f>
        <v>0.05</v>
      </c>
      <c r="M172">
        <f>K172*L172</f>
        <v>0.42500000000000004</v>
      </c>
      <c r="N172">
        <f>LOOKUP(K172,Lookup!$A$2:$A$5,Lookup!$B$2:$B$5)</f>
        <v>0.1</v>
      </c>
      <c r="O172">
        <f>K172*N172</f>
        <v>0.85000000000000009</v>
      </c>
      <c r="P172">
        <f>K172-M172+O172</f>
        <v>8.9249999999999989</v>
      </c>
    </row>
    <row r="173" spans="1:16">
      <c r="A173">
        <v>172</v>
      </c>
      <c r="B173" t="s">
        <v>221</v>
      </c>
      <c r="C173" t="s">
        <v>26</v>
      </c>
      <c r="D173">
        <v>1999</v>
      </c>
      <c r="E173" t="s">
        <v>33</v>
      </c>
      <c r="F173" t="s">
        <v>19</v>
      </c>
      <c r="G173">
        <v>1.1200000000000001</v>
      </c>
      <c r="H173">
        <v>1.01</v>
      </c>
      <c r="I173">
        <v>0.16</v>
      </c>
      <c r="J173">
        <v>5.31</v>
      </c>
      <c r="K173">
        <f>SUM(G173:J173)</f>
        <v>7.6</v>
      </c>
      <c r="L173">
        <f>IF(K173&gt;20,10%,5%)</f>
        <v>0.05</v>
      </c>
      <c r="M173">
        <f>K173*L173</f>
        <v>0.38</v>
      </c>
      <c r="N173">
        <f>LOOKUP(K173,Lookup!$A$2:$A$5,Lookup!$B$2:$B$5)</f>
        <v>0.1</v>
      </c>
      <c r="O173">
        <f>K173*N173</f>
        <v>0.76</v>
      </c>
      <c r="P173">
        <f>K173-M173+O173</f>
        <v>7.9799999999999995</v>
      </c>
    </row>
    <row r="174" spans="1:16">
      <c r="A174">
        <v>173</v>
      </c>
      <c r="B174" t="s">
        <v>172</v>
      </c>
      <c r="C174" t="s">
        <v>44</v>
      </c>
      <c r="D174">
        <v>2012</v>
      </c>
      <c r="E174" t="s">
        <v>48</v>
      </c>
      <c r="F174" t="s">
        <v>97</v>
      </c>
      <c r="G174">
        <v>1.71</v>
      </c>
      <c r="H174">
        <v>0.03</v>
      </c>
      <c r="I174">
        <v>0.44</v>
      </c>
      <c r="J174">
        <v>5.3</v>
      </c>
      <c r="K174">
        <f>SUM(G174:J174)</f>
        <v>7.48</v>
      </c>
      <c r="L174">
        <f>IF(K174&gt;20,10%,5%)</f>
        <v>0.05</v>
      </c>
      <c r="M174">
        <f>K174*L174</f>
        <v>0.37400000000000005</v>
      </c>
      <c r="N174">
        <f>LOOKUP(K174,Lookup!$A$2:$A$5,Lookup!$B$2:$B$5)</f>
        <v>0.1</v>
      </c>
      <c r="O174">
        <f>K174*N174</f>
        <v>0.74800000000000011</v>
      </c>
      <c r="P174">
        <f>K174-M174+O174</f>
        <v>7.854000000000001</v>
      </c>
    </row>
    <row r="175" spans="1:16">
      <c r="A175">
        <v>174</v>
      </c>
      <c r="B175" t="s">
        <v>222</v>
      </c>
      <c r="C175" t="s">
        <v>91</v>
      </c>
      <c r="D175">
        <v>2000</v>
      </c>
      <c r="E175" t="s">
        <v>27</v>
      </c>
      <c r="F175" t="s">
        <v>129</v>
      </c>
      <c r="G175">
        <v>0.77</v>
      </c>
      <c r="H175">
        <v>2.78</v>
      </c>
      <c r="I175">
        <v>0.14000000000000001</v>
      </c>
      <c r="J175">
        <v>5.3</v>
      </c>
      <c r="K175">
        <f>SUM(G175:J175)</f>
        <v>8.99</v>
      </c>
      <c r="L175">
        <f>IF(K175&gt;20,10%,5%)</f>
        <v>0.05</v>
      </c>
      <c r="M175">
        <f>K175*L175</f>
        <v>0.44950000000000001</v>
      </c>
      <c r="N175">
        <f>LOOKUP(K175,Lookup!$A$2:$A$5,Lookup!$B$2:$B$5)</f>
        <v>0.1</v>
      </c>
      <c r="O175">
        <f>K175*N175</f>
        <v>0.89900000000000002</v>
      </c>
      <c r="P175">
        <f>K175-M175+O175</f>
        <v>9.4394999999999989</v>
      </c>
    </row>
    <row r="176" spans="1:16">
      <c r="A176">
        <v>175</v>
      </c>
      <c r="B176" t="s">
        <v>223</v>
      </c>
      <c r="C176" t="s">
        <v>51</v>
      </c>
      <c r="D176">
        <v>2003</v>
      </c>
      <c r="E176" t="s">
        <v>27</v>
      </c>
      <c r="F176" t="s">
        <v>115</v>
      </c>
      <c r="G176">
        <v>1.08</v>
      </c>
      <c r="H176">
        <v>2.11</v>
      </c>
      <c r="I176">
        <v>0.17</v>
      </c>
      <c r="J176">
        <v>5.29</v>
      </c>
      <c r="K176">
        <f>SUM(G176:J176)</f>
        <v>8.65</v>
      </c>
      <c r="L176">
        <f>IF(K176&gt;20,10%,5%)</f>
        <v>0.05</v>
      </c>
      <c r="M176">
        <f>K176*L176</f>
        <v>0.43250000000000005</v>
      </c>
      <c r="N176">
        <f>LOOKUP(K176,Lookup!$A$2:$A$5,Lookup!$B$2:$B$5)</f>
        <v>0.1</v>
      </c>
      <c r="O176">
        <f>K176*N176</f>
        <v>0.8650000000000001</v>
      </c>
      <c r="P176">
        <f>K176-M176+O176</f>
        <v>9.0825000000000014</v>
      </c>
    </row>
    <row r="177" spans="1:16">
      <c r="A177">
        <v>176</v>
      </c>
      <c r="B177" t="s">
        <v>224</v>
      </c>
      <c r="C177" t="s">
        <v>83</v>
      </c>
      <c r="D177">
        <v>1999</v>
      </c>
      <c r="E177" t="s">
        <v>2</v>
      </c>
      <c r="F177" t="s">
        <v>19</v>
      </c>
      <c r="G177">
        <v>0.79</v>
      </c>
      <c r="H177">
        <v>1.0900000000000001</v>
      </c>
      <c r="I177">
        <v>0.06</v>
      </c>
      <c r="J177">
        <v>5.27</v>
      </c>
      <c r="K177">
        <f>SUM(G177:J177)</f>
        <v>7.21</v>
      </c>
      <c r="L177">
        <f>IF(K177&gt;20,10%,5%)</f>
        <v>0.05</v>
      </c>
      <c r="M177">
        <f>K177*L177</f>
        <v>0.36050000000000004</v>
      </c>
      <c r="N177">
        <f>LOOKUP(K177,Lookup!$A$2:$A$5,Lookup!$B$2:$B$5)</f>
        <v>0.1</v>
      </c>
      <c r="O177">
        <f>K177*N177</f>
        <v>0.72100000000000009</v>
      </c>
      <c r="P177">
        <f>K177-M177+O177</f>
        <v>7.5705</v>
      </c>
    </row>
    <row r="178" spans="1:16">
      <c r="A178">
        <v>177</v>
      </c>
      <c r="B178" t="s">
        <v>206</v>
      </c>
      <c r="C178" t="s">
        <v>44</v>
      </c>
      <c r="D178">
        <v>2009</v>
      </c>
      <c r="E178" t="s">
        <v>48</v>
      </c>
      <c r="F178" t="s">
        <v>97</v>
      </c>
      <c r="G178">
        <v>1.56</v>
      </c>
      <c r="H178">
        <v>0.08</v>
      </c>
      <c r="I178">
        <v>0.51</v>
      </c>
      <c r="J178">
        <v>5.27</v>
      </c>
      <c r="K178">
        <f>SUM(G178:J178)</f>
        <v>7.42</v>
      </c>
      <c r="L178">
        <f>IF(K178&gt;20,10%,5%)</f>
        <v>0.05</v>
      </c>
      <c r="M178">
        <f>K178*L178</f>
        <v>0.371</v>
      </c>
      <c r="N178">
        <f>LOOKUP(K178,Lookup!$A$2:$A$5,Lookup!$B$2:$B$5)</f>
        <v>0.1</v>
      </c>
      <c r="O178">
        <f>K178*N178</f>
        <v>0.74199999999999999</v>
      </c>
      <c r="P178">
        <f>K178-M178+O178</f>
        <v>7.7909999999999995</v>
      </c>
    </row>
    <row r="179" spans="1:16">
      <c r="A179">
        <v>178</v>
      </c>
      <c r="B179" t="s">
        <v>225</v>
      </c>
      <c r="C179" t="s">
        <v>31</v>
      </c>
      <c r="D179">
        <v>2007</v>
      </c>
      <c r="E179" t="s">
        <v>29</v>
      </c>
      <c r="F179" t="s">
        <v>19</v>
      </c>
      <c r="G179">
        <v>2.48</v>
      </c>
      <c r="H179">
        <v>1.03</v>
      </c>
      <c r="I179">
        <v>0.52</v>
      </c>
      <c r="J179">
        <v>5.26</v>
      </c>
      <c r="K179">
        <f>SUM(G179:J179)</f>
        <v>9.2899999999999991</v>
      </c>
      <c r="L179">
        <f>IF(K179&gt;20,10%,5%)</f>
        <v>0.05</v>
      </c>
      <c r="M179">
        <f>K179*L179</f>
        <v>0.46449999999999997</v>
      </c>
      <c r="N179">
        <f>LOOKUP(K179,Lookup!$A$2:$A$5,Lookup!$B$2:$B$5)</f>
        <v>0.1</v>
      </c>
      <c r="O179">
        <f>K179*N179</f>
        <v>0.92899999999999994</v>
      </c>
      <c r="P179">
        <f>K179-M179+O179</f>
        <v>9.7545000000000002</v>
      </c>
    </row>
    <row r="180" spans="1:16">
      <c r="A180">
        <v>179</v>
      </c>
      <c r="B180" t="s">
        <v>226</v>
      </c>
      <c r="C180" t="s">
        <v>91</v>
      </c>
      <c r="D180">
        <v>1997</v>
      </c>
      <c r="E180" t="s">
        <v>48</v>
      </c>
      <c r="F180" t="s">
        <v>227</v>
      </c>
      <c r="G180">
        <v>2.46</v>
      </c>
      <c r="H180">
        <v>0.2</v>
      </c>
      <c r="I180">
        <v>0.28000000000000003</v>
      </c>
      <c r="J180">
        <v>5.24</v>
      </c>
      <c r="K180">
        <f>SUM(G180:J180)</f>
        <v>8.18</v>
      </c>
      <c r="L180">
        <f>IF(K180&gt;20,10%,5%)</f>
        <v>0.05</v>
      </c>
      <c r="M180">
        <f>K180*L180</f>
        <v>0.40900000000000003</v>
      </c>
      <c r="N180">
        <f>LOOKUP(K180,Lookup!$A$2:$A$5,Lookup!$B$2:$B$5)</f>
        <v>0.1</v>
      </c>
      <c r="O180">
        <f>K180*N180</f>
        <v>0.81800000000000006</v>
      </c>
      <c r="P180">
        <f>K180-M180+O180</f>
        <v>8.5890000000000004</v>
      </c>
    </row>
    <row r="181" spans="1:16">
      <c r="A181">
        <v>180</v>
      </c>
      <c r="B181" t="s">
        <v>228</v>
      </c>
      <c r="C181" t="s">
        <v>51</v>
      </c>
      <c r="D181" t="s">
        <v>229</v>
      </c>
      <c r="E181" t="s">
        <v>18</v>
      </c>
      <c r="F181" t="s">
        <v>115</v>
      </c>
      <c r="G181">
        <v>0.26</v>
      </c>
      <c r="H181">
        <v>0.01</v>
      </c>
      <c r="I181">
        <v>0.71</v>
      </c>
      <c r="J181">
        <v>5.23</v>
      </c>
      <c r="K181">
        <f>SUM(G181:J181)</f>
        <v>6.2100000000000009</v>
      </c>
      <c r="L181">
        <f>IF(K181&gt;20,10%,5%)</f>
        <v>0.05</v>
      </c>
      <c r="M181">
        <f>K181*L181</f>
        <v>0.31050000000000005</v>
      </c>
      <c r="N181">
        <f>LOOKUP(K181,Lookup!$A$2:$A$5,Lookup!$B$2:$B$5)</f>
        <v>0.1</v>
      </c>
      <c r="O181">
        <f>K181*N181</f>
        <v>0.62100000000000011</v>
      </c>
      <c r="P181">
        <f>K181-M181+O181</f>
        <v>6.5205000000000011</v>
      </c>
    </row>
    <row r="182" spans="1:16">
      <c r="A182">
        <v>181</v>
      </c>
      <c r="B182" t="s">
        <v>230</v>
      </c>
      <c r="C182" t="s">
        <v>51</v>
      </c>
      <c r="D182">
        <v>2004</v>
      </c>
      <c r="E182" t="s">
        <v>27</v>
      </c>
      <c r="F182" t="s">
        <v>196</v>
      </c>
      <c r="G182">
        <v>0.75</v>
      </c>
      <c r="H182">
        <v>3.61</v>
      </c>
      <c r="I182">
        <v>0.2</v>
      </c>
      <c r="J182">
        <v>5.21</v>
      </c>
      <c r="K182">
        <f>SUM(G182:J182)</f>
        <v>9.77</v>
      </c>
      <c r="L182">
        <f>IF(K182&gt;20,10%,5%)</f>
        <v>0.05</v>
      </c>
      <c r="M182">
        <f>K182*L182</f>
        <v>0.48849999999999999</v>
      </c>
      <c r="N182">
        <f>LOOKUP(K182,Lookup!$A$2:$A$5,Lookup!$B$2:$B$5)</f>
        <v>0.1</v>
      </c>
      <c r="O182">
        <f>K182*N182</f>
        <v>0.97699999999999998</v>
      </c>
      <c r="P182">
        <f>K182-M182+O182</f>
        <v>10.2585</v>
      </c>
    </row>
    <row r="183" spans="1:16">
      <c r="A183">
        <v>182</v>
      </c>
      <c r="B183" t="s">
        <v>231</v>
      </c>
      <c r="C183" t="s">
        <v>123</v>
      </c>
      <c r="D183">
        <v>2012</v>
      </c>
      <c r="E183" t="s">
        <v>27</v>
      </c>
      <c r="F183" t="s">
        <v>66</v>
      </c>
      <c r="G183">
        <v>2.15</v>
      </c>
      <c r="H183">
        <v>0</v>
      </c>
      <c r="I183">
        <v>0.62</v>
      </c>
      <c r="J183">
        <v>5.2</v>
      </c>
      <c r="K183">
        <f>SUM(G183:J183)</f>
        <v>7.9700000000000006</v>
      </c>
      <c r="L183">
        <f>IF(K183&gt;20,10%,5%)</f>
        <v>0.05</v>
      </c>
      <c r="M183">
        <f>K183*L183</f>
        <v>0.39850000000000008</v>
      </c>
      <c r="N183">
        <f>LOOKUP(K183,Lookup!$A$2:$A$5,Lookup!$B$2:$B$5)</f>
        <v>0.1</v>
      </c>
      <c r="O183">
        <f>K183*N183</f>
        <v>0.79700000000000015</v>
      </c>
      <c r="P183">
        <f>K183-M183+O183</f>
        <v>8.3685000000000009</v>
      </c>
    </row>
    <row r="184" spans="1:16">
      <c r="A184">
        <v>183</v>
      </c>
      <c r="B184" t="s">
        <v>57</v>
      </c>
      <c r="C184" t="s">
        <v>60</v>
      </c>
      <c r="D184">
        <v>2003</v>
      </c>
      <c r="E184" t="s">
        <v>2</v>
      </c>
      <c r="F184" t="s">
        <v>19</v>
      </c>
      <c r="G184">
        <v>1.25</v>
      </c>
      <c r="H184">
        <v>0.83</v>
      </c>
      <c r="I184">
        <v>0.2</v>
      </c>
      <c r="J184">
        <v>5.2</v>
      </c>
      <c r="K184">
        <f>SUM(G184:J184)</f>
        <v>7.48</v>
      </c>
      <c r="L184">
        <f>IF(K184&gt;20,10%,5%)</f>
        <v>0.05</v>
      </c>
      <c r="M184">
        <f>K184*L184</f>
        <v>0.37400000000000005</v>
      </c>
      <c r="N184">
        <f>LOOKUP(K184,Lookup!$A$2:$A$5,Lookup!$B$2:$B$5)</f>
        <v>0.1</v>
      </c>
      <c r="O184">
        <f>K184*N184</f>
        <v>0.74800000000000011</v>
      </c>
      <c r="P184">
        <f>K184-M184+O184</f>
        <v>7.854000000000001</v>
      </c>
    </row>
    <row r="185" spans="1:16">
      <c r="A185">
        <v>184</v>
      </c>
      <c r="B185" t="s">
        <v>232</v>
      </c>
      <c r="C185" t="s">
        <v>153</v>
      </c>
      <c r="D185">
        <v>2012</v>
      </c>
      <c r="E185" t="s">
        <v>2</v>
      </c>
      <c r="F185" t="s">
        <v>19</v>
      </c>
      <c r="G185">
        <v>1.3</v>
      </c>
      <c r="H185">
        <v>1.27</v>
      </c>
      <c r="I185">
        <v>0.31</v>
      </c>
      <c r="J185">
        <v>5.19</v>
      </c>
      <c r="K185">
        <f>SUM(G185:J185)</f>
        <v>8.07</v>
      </c>
      <c r="L185">
        <f>IF(K185&gt;20,10%,5%)</f>
        <v>0.05</v>
      </c>
      <c r="M185">
        <f>K185*L185</f>
        <v>0.40350000000000003</v>
      </c>
      <c r="N185">
        <f>LOOKUP(K185,Lookup!$A$2:$A$5,Lookup!$B$2:$B$5)</f>
        <v>0.1</v>
      </c>
      <c r="O185">
        <f>K185*N185</f>
        <v>0.80700000000000005</v>
      </c>
      <c r="P185">
        <f>K185-M185+O185</f>
        <v>8.4734999999999996</v>
      </c>
    </row>
    <row r="186" spans="1:16">
      <c r="A186">
        <v>185</v>
      </c>
      <c r="B186" t="s">
        <v>233</v>
      </c>
      <c r="C186" t="s">
        <v>26</v>
      </c>
      <c r="D186">
        <v>1994</v>
      </c>
      <c r="E186" t="s">
        <v>2</v>
      </c>
      <c r="F186" t="s">
        <v>19</v>
      </c>
      <c r="G186">
        <v>0.98</v>
      </c>
      <c r="H186">
        <v>1.57</v>
      </c>
      <c r="I186">
        <v>0.15</v>
      </c>
      <c r="J186">
        <v>5.19</v>
      </c>
      <c r="K186">
        <f>SUM(G186:J186)</f>
        <v>7.8900000000000006</v>
      </c>
      <c r="L186">
        <f>IF(K186&gt;20,10%,5%)</f>
        <v>0.05</v>
      </c>
      <c r="M186">
        <f>K186*L186</f>
        <v>0.39450000000000007</v>
      </c>
      <c r="N186">
        <f>LOOKUP(K186,Lookup!$A$2:$A$5,Lookup!$B$2:$B$5)</f>
        <v>0.1</v>
      </c>
      <c r="O186">
        <f>K186*N186</f>
        <v>0.78900000000000015</v>
      </c>
      <c r="P186">
        <f>K186-M186+O186</f>
        <v>8.2845000000000013</v>
      </c>
    </row>
    <row r="187" spans="1:16">
      <c r="A187">
        <v>186</v>
      </c>
      <c r="B187" t="s">
        <v>121</v>
      </c>
      <c r="C187" t="s">
        <v>44</v>
      </c>
      <c r="D187">
        <v>2012</v>
      </c>
      <c r="E187" t="s">
        <v>48</v>
      </c>
      <c r="F187" t="s">
        <v>115</v>
      </c>
      <c r="G187">
        <v>3.48</v>
      </c>
      <c r="H187">
        <v>0.03</v>
      </c>
      <c r="I187">
        <v>0.57999999999999996</v>
      </c>
      <c r="J187">
        <v>5.18</v>
      </c>
      <c r="K187">
        <f>SUM(G187:J187)</f>
        <v>9.27</v>
      </c>
      <c r="L187">
        <f>IF(K187&gt;20,10%,5%)</f>
        <v>0.05</v>
      </c>
      <c r="M187">
        <f>K187*L187</f>
        <v>0.46350000000000002</v>
      </c>
      <c r="N187">
        <f>LOOKUP(K187,Lookup!$A$2:$A$5,Lookup!$B$2:$B$5)</f>
        <v>0.1</v>
      </c>
      <c r="O187">
        <f>K187*N187</f>
        <v>0.92700000000000005</v>
      </c>
      <c r="P187">
        <f>K187-M187+O187</f>
        <v>9.7334999999999994</v>
      </c>
    </row>
    <row r="188" spans="1:16">
      <c r="A188">
        <v>187</v>
      </c>
      <c r="B188" t="s">
        <v>234</v>
      </c>
      <c r="C188" t="s">
        <v>31</v>
      </c>
      <c r="D188">
        <v>2007</v>
      </c>
      <c r="E188" t="s">
        <v>48</v>
      </c>
      <c r="F188" t="s">
        <v>19</v>
      </c>
      <c r="G188">
        <v>1.83</v>
      </c>
      <c r="H188">
        <v>0.95</v>
      </c>
      <c r="I188">
        <v>0.49</v>
      </c>
      <c r="J188">
        <v>5.17</v>
      </c>
      <c r="K188">
        <f>SUM(G188:J188)</f>
        <v>8.4400000000000013</v>
      </c>
      <c r="L188">
        <f>IF(K188&gt;20,10%,5%)</f>
        <v>0.05</v>
      </c>
      <c r="M188">
        <f>K188*L188</f>
        <v>0.4220000000000001</v>
      </c>
      <c r="N188">
        <f>LOOKUP(K188,Lookup!$A$2:$A$5,Lookup!$B$2:$B$5)</f>
        <v>0.1</v>
      </c>
      <c r="O188">
        <f>K188*N188</f>
        <v>0.84400000000000019</v>
      </c>
      <c r="P188">
        <f>K188-M188+O188</f>
        <v>8.8620000000000001</v>
      </c>
    </row>
    <row r="189" spans="1:16">
      <c r="A189">
        <v>188</v>
      </c>
      <c r="B189" t="s">
        <v>235</v>
      </c>
      <c r="C189" t="s">
        <v>53</v>
      </c>
      <c r="D189">
        <v>1995</v>
      </c>
      <c r="E189" t="s">
        <v>2</v>
      </c>
      <c r="F189" t="s">
        <v>19</v>
      </c>
      <c r="G189">
        <v>0.74</v>
      </c>
      <c r="H189">
        <v>2.2000000000000002</v>
      </c>
      <c r="I189">
        <v>0.11</v>
      </c>
      <c r="J189">
        <v>5.15</v>
      </c>
      <c r="K189">
        <f>SUM(G189:J189)</f>
        <v>8.2000000000000011</v>
      </c>
      <c r="L189">
        <f>IF(K189&gt;20,10%,5%)</f>
        <v>0.05</v>
      </c>
      <c r="M189">
        <f>K189*L189</f>
        <v>0.41000000000000009</v>
      </c>
      <c r="N189">
        <f>LOOKUP(K189,Lookup!$A$2:$A$5,Lookup!$B$2:$B$5)</f>
        <v>0.1</v>
      </c>
      <c r="O189">
        <f>K189*N189</f>
        <v>0.82000000000000017</v>
      </c>
      <c r="P189">
        <f>K189-M189+O189</f>
        <v>8.6100000000000012</v>
      </c>
    </row>
    <row r="190" spans="1:16">
      <c r="A190">
        <v>189</v>
      </c>
      <c r="B190" t="s">
        <v>236</v>
      </c>
      <c r="C190" t="s">
        <v>70</v>
      </c>
      <c r="D190">
        <v>2013</v>
      </c>
      <c r="E190" t="s">
        <v>38</v>
      </c>
      <c r="F190" t="s">
        <v>19</v>
      </c>
      <c r="G190">
        <v>2.02</v>
      </c>
      <c r="H190">
        <v>1.89</v>
      </c>
      <c r="I190">
        <v>0.28000000000000003</v>
      </c>
      <c r="J190">
        <v>5.15</v>
      </c>
      <c r="K190">
        <f>SUM(G190:J190)</f>
        <v>9.34</v>
      </c>
      <c r="L190">
        <f>IF(K190&gt;20,10%,5%)</f>
        <v>0.05</v>
      </c>
      <c r="M190">
        <f>K190*L190</f>
        <v>0.46700000000000003</v>
      </c>
      <c r="N190">
        <f>LOOKUP(K190,Lookup!$A$2:$A$5,Lookup!$B$2:$B$5)</f>
        <v>0.1</v>
      </c>
      <c r="O190">
        <f>K190*N190</f>
        <v>0.93400000000000005</v>
      </c>
      <c r="P190">
        <f>K190-M190+O190</f>
        <v>9.8069999999999986</v>
      </c>
    </row>
    <row r="191" spans="1:16">
      <c r="A191">
        <v>190</v>
      </c>
      <c r="B191" t="s">
        <v>125</v>
      </c>
      <c r="C191" t="s">
        <v>31</v>
      </c>
      <c r="D191">
        <v>2008</v>
      </c>
      <c r="E191" t="s">
        <v>18</v>
      </c>
      <c r="F191" t="s">
        <v>126</v>
      </c>
      <c r="G191">
        <v>2.48</v>
      </c>
      <c r="H191">
        <v>0.44</v>
      </c>
      <c r="I191">
        <v>0.57999999999999996</v>
      </c>
      <c r="J191">
        <v>5.14</v>
      </c>
      <c r="K191">
        <f>SUM(G191:J191)</f>
        <v>8.64</v>
      </c>
      <c r="L191">
        <f>IF(K191&gt;20,10%,5%)</f>
        <v>0.05</v>
      </c>
      <c r="M191">
        <f>K191*L191</f>
        <v>0.43200000000000005</v>
      </c>
      <c r="N191">
        <f>LOOKUP(K191,Lookup!$A$2:$A$5,Lookup!$B$2:$B$5)</f>
        <v>0.1</v>
      </c>
      <c r="O191">
        <f>K191*N191</f>
        <v>0.8640000000000001</v>
      </c>
      <c r="P191">
        <f>K191-M191+O191</f>
        <v>9.072000000000001</v>
      </c>
    </row>
    <row r="192" spans="1:16">
      <c r="A192">
        <v>191</v>
      </c>
      <c r="B192" t="s">
        <v>237</v>
      </c>
      <c r="C192" t="s">
        <v>51</v>
      </c>
      <c r="D192">
        <v>2003</v>
      </c>
      <c r="E192" t="s">
        <v>36</v>
      </c>
      <c r="F192" t="s">
        <v>115</v>
      </c>
      <c r="G192">
        <v>2.23</v>
      </c>
      <c r="H192">
        <v>0.13</v>
      </c>
      <c r="I192">
        <v>0.8</v>
      </c>
      <c r="J192">
        <v>5.13</v>
      </c>
      <c r="K192">
        <f>SUM(G192:J192)</f>
        <v>8.2899999999999991</v>
      </c>
      <c r="L192">
        <f>IF(K192&gt;20,10%,5%)</f>
        <v>0.05</v>
      </c>
      <c r="M192">
        <f>K192*L192</f>
        <v>0.41449999999999998</v>
      </c>
      <c r="N192">
        <f>LOOKUP(K192,Lookup!$A$2:$A$5,Lookup!$B$2:$B$5)</f>
        <v>0.1</v>
      </c>
      <c r="O192">
        <f>K192*N192</f>
        <v>0.82899999999999996</v>
      </c>
      <c r="P192">
        <f>K192-M192+O192</f>
        <v>8.7044999999999995</v>
      </c>
    </row>
    <row r="193" spans="1:16">
      <c r="A193">
        <v>192</v>
      </c>
      <c r="B193" t="s">
        <v>238</v>
      </c>
      <c r="C193" t="s">
        <v>26</v>
      </c>
      <c r="D193">
        <v>1992</v>
      </c>
      <c r="E193" t="s">
        <v>2</v>
      </c>
      <c r="F193" t="s">
        <v>19</v>
      </c>
      <c r="G193">
        <v>0.61</v>
      </c>
      <c r="H193">
        <v>1.7</v>
      </c>
      <c r="I193">
        <v>0.11</v>
      </c>
      <c r="J193">
        <v>5.13</v>
      </c>
      <c r="K193">
        <f>SUM(G193:J193)</f>
        <v>7.55</v>
      </c>
      <c r="L193">
        <f>IF(K193&gt;20,10%,5%)</f>
        <v>0.05</v>
      </c>
      <c r="M193">
        <f>K193*L193</f>
        <v>0.3775</v>
      </c>
      <c r="N193">
        <f>LOOKUP(K193,Lookup!$A$2:$A$5,Lookup!$B$2:$B$5)</f>
        <v>0.1</v>
      </c>
      <c r="O193">
        <f>K193*N193</f>
        <v>0.755</v>
      </c>
      <c r="P193">
        <f>K193-M193+O193</f>
        <v>7.9274999999999993</v>
      </c>
    </row>
    <row r="194" spans="1:16">
      <c r="A194">
        <v>193</v>
      </c>
      <c r="B194" t="s">
        <v>239</v>
      </c>
      <c r="C194" t="s">
        <v>44</v>
      </c>
      <c r="D194">
        <v>2010</v>
      </c>
      <c r="E194" t="s">
        <v>27</v>
      </c>
      <c r="F194" t="s">
        <v>45</v>
      </c>
      <c r="G194">
        <v>1.1100000000000001</v>
      </c>
      <c r="H194">
        <v>0.05</v>
      </c>
      <c r="I194">
        <v>0.38</v>
      </c>
      <c r="J194">
        <v>5.13</v>
      </c>
      <c r="K194">
        <f>SUM(G194:J194)</f>
        <v>6.67</v>
      </c>
      <c r="L194">
        <f>IF(K194&gt;20,10%,5%)</f>
        <v>0.05</v>
      </c>
      <c r="M194">
        <f>K194*L194</f>
        <v>0.33350000000000002</v>
      </c>
      <c r="N194">
        <f>LOOKUP(K194,Lookup!$A$2:$A$5,Lookup!$B$2:$B$5)</f>
        <v>0.1</v>
      </c>
      <c r="O194">
        <f>K194*N194</f>
        <v>0.66700000000000004</v>
      </c>
      <c r="P194">
        <f>K194-M194+O194</f>
        <v>7.0034999999999998</v>
      </c>
    </row>
    <row r="195" spans="1:16">
      <c r="A195">
        <v>194</v>
      </c>
      <c r="B195" t="s">
        <v>137</v>
      </c>
      <c r="C195" t="s">
        <v>145</v>
      </c>
      <c r="D195">
        <v>2014</v>
      </c>
      <c r="E195" t="s">
        <v>36</v>
      </c>
      <c r="F195" t="s">
        <v>66</v>
      </c>
      <c r="G195">
        <v>1.53</v>
      </c>
      <c r="H195">
        <v>0.01</v>
      </c>
      <c r="I195">
        <v>0.38</v>
      </c>
      <c r="J195">
        <v>5.13</v>
      </c>
      <c r="K195">
        <f>SUM(G195:J195)</f>
        <v>7.05</v>
      </c>
      <c r="L195">
        <f>IF(K195&gt;20,10%,5%)</f>
        <v>0.05</v>
      </c>
      <c r="M195">
        <f>K195*L195</f>
        <v>0.35250000000000004</v>
      </c>
      <c r="N195">
        <f>LOOKUP(K195,Lookup!$A$2:$A$5,Lookup!$B$2:$B$5)</f>
        <v>0.1</v>
      </c>
      <c r="O195">
        <f>K195*N195</f>
        <v>0.70500000000000007</v>
      </c>
      <c r="P195">
        <f>K195-M195+O195</f>
        <v>7.4024999999999999</v>
      </c>
    </row>
    <row r="196" spans="1:16">
      <c r="A196">
        <v>195</v>
      </c>
      <c r="B196" t="s">
        <v>240</v>
      </c>
      <c r="C196" t="s">
        <v>123</v>
      </c>
      <c r="D196">
        <v>1996</v>
      </c>
      <c r="E196" t="s">
        <v>38</v>
      </c>
      <c r="F196" t="s">
        <v>45</v>
      </c>
      <c r="G196">
        <v>1.69</v>
      </c>
      <c r="H196">
        <v>0</v>
      </c>
      <c r="I196">
        <v>0.2</v>
      </c>
      <c r="J196">
        <v>5.12</v>
      </c>
      <c r="K196">
        <f>SUM(G196:J196)</f>
        <v>7.01</v>
      </c>
      <c r="L196">
        <f>IF(K196&gt;20,10%,5%)</f>
        <v>0.05</v>
      </c>
      <c r="M196">
        <f>K196*L196</f>
        <v>0.35050000000000003</v>
      </c>
      <c r="N196">
        <f>LOOKUP(K196,Lookup!$A$2:$A$5,Lookup!$B$2:$B$5)</f>
        <v>0.1</v>
      </c>
      <c r="O196">
        <f>K196*N196</f>
        <v>0.70100000000000007</v>
      </c>
      <c r="P196">
        <f>K196-M196+O196</f>
        <v>7.3605</v>
      </c>
    </row>
    <row r="197" spans="1:16">
      <c r="A197">
        <v>196</v>
      </c>
      <c r="B197" t="s">
        <v>241</v>
      </c>
      <c r="C197" t="s">
        <v>51</v>
      </c>
      <c r="D197">
        <v>2006</v>
      </c>
      <c r="E197" t="s">
        <v>33</v>
      </c>
      <c r="F197" t="s">
        <v>242</v>
      </c>
      <c r="G197">
        <v>0.63</v>
      </c>
      <c r="H197">
        <v>0</v>
      </c>
      <c r="I197">
        <v>0.68</v>
      </c>
      <c r="J197">
        <v>5.12</v>
      </c>
      <c r="K197">
        <f>SUM(G197:J197)</f>
        <v>6.43</v>
      </c>
      <c r="L197">
        <f>IF(K197&gt;20,10%,5%)</f>
        <v>0.05</v>
      </c>
      <c r="M197">
        <f>K197*L197</f>
        <v>0.32150000000000001</v>
      </c>
      <c r="N197">
        <f>LOOKUP(K197,Lookup!$A$2:$A$5,Lookup!$B$2:$B$5)</f>
        <v>0.1</v>
      </c>
      <c r="O197">
        <f>K197*N197</f>
        <v>0.64300000000000002</v>
      </c>
      <c r="P197">
        <f>K197-M197+O197</f>
        <v>6.7514999999999992</v>
      </c>
    </row>
    <row r="198" spans="1:16">
      <c r="A198">
        <v>197</v>
      </c>
      <c r="B198" t="s">
        <v>243</v>
      </c>
      <c r="C198" t="s">
        <v>47</v>
      </c>
      <c r="D198">
        <v>2009</v>
      </c>
      <c r="E198" t="s">
        <v>48</v>
      </c>
      <c r="F198" t="s">
        <v>180</v>
      </c>
      <c r="G198">
        <v>1.43</v>
      </c>
      <c r="H198">
        <v>1.08</v>
      </c>
      <c r="I198">
        <v>0.65</v>
      </c>
      <c r="J198">
        <v>5.1100000000000003</v>
      </c>
      <c r="K198">
        <f>SUM(G198:J198)</f>
        <v>8.27</v>
      </c>
      <c r="L198">
        <f>IF(K198&gt;20,10%,5%)</f>
        <v>0.05</v>
      </c>
      <c r="M198">
        <f>K198*L198</f>
        <v>0.41349999999999998</v>
      </c>
      <c r="N198">
        <f>LOOKUP(K198,Lookup!$A$2:$A$5,Lookup!$B$2:$B$5)</f>
        <v>0.1</v>
      </c>
      <c r="O198">
        <f>K198*N198</f>
        <v>0.82699999999999996</v>
      </c>
      <c r="P198">
        <f>K198-M198+O198</f>
        <v>8.6834999999999987</v>
      </c>
    </row>
    <row r="199" spans="1:16">
      <c r="A199">
        <v>198</v>
      </c>
      <c r="B199" t="s">
        <v>46</v>
      </c>
      <c r="C199" t="s">
        <v>145</v>
      </c>
      <c r="D199">
        <v>2014</v>
      </c>
      <c r="E199" t="s">
        <v>48</v>
      </c>
      <c r="F199" t="s">
        <v>49</v>
      </c>
      <c r="G199">
        <v>2.0099999999999998</v>
      </c>
      <c r="H199">
        <v>0</v>
      </c>
      <c r="I199">
        <v>0.41</v>
      </c>
      <c r="J199">
        <v>5.08</v>
      </c>
      <c r="K199">
        <f>SUM(G199:J199)</f>
        <v>7.5</v>
      </c>
      <c r="L199">
        <f>IF(K199&gt;20,10%,5%)</f>
        <v>0.05</v>
      </c>
      <c r="M199">
        <f>K199*L199</f>
        <v>0.375</v>
      </c>
      <c r="N199">
        <f>LOOKUP(K199,Lookup!$A$2:$A$5,Lookup!$B$2:$B$5)</f>
        <v>0.1</v>
      </c>
      <c r="O199">
        <f>K199*N199</f>
        <v>0.75</v>
      </c>
      <c r="P199">
        <f>K199-M199+O199</f>
        <v>7.875</v>
      </c>
    </row>
    <row r="200" spans="1:16">
      <c r="A200">
        <v>199</v>
      </c>
      <c r="B200" t="s">
        <v>244</v>
      </c>
      <c r="C200" t="s">
        <v>134</v>
      </c>
      <c r="D200">
        <v>2006</v>
      </c>
      <c r="E200" t="s">
        <v>48</v>
      </c>
      <c r="F200" t="s">
        <v>49</v>
      </c>
      <c r="G200">
        <v>2.02</v>
      </c>
      <c r="H200">
        <v>0.16</v>
      </c>
      <c r="I200">
        <v>1.21</v>
      </c>
      <c r="J200">
        <v>5.08</v>
      </c>
      <c r="K200">
        <f>SUM(G200:J200)</f>
        <v>8.4700000000000006</v>
      </c>
      <c r="L200">
        <f>IF(K200&gt;20,10%,5%)</f>
        <v>0.05</v>
      </c>
      <c r="M200">
        <f>K200*L200</f>
        <v>0.42350000000000004</v>
      </c>
      <c r="N200">
        <f>LOOKUP(K200,Lookup!$A$2:$A$5,Lookup!$B$2:$B$5)</f>
        <v>0.1</v>
      </c>
      <c r="O200">
        <f>K200*N200</f>
        <v>0.84700000000000009</v>
      </c>
      <c r="P200">
        <f>K200-M200+O200</f>
        <v>8.8934999999999995</v>
      </c>
    </row>
    <row r="201" spans="1:16">
      <c r="A201">
        <v>200</v>
      </c>
      <c r="B201" t="s">
        <v>245</v>
      </c>
      <c r="C201" t="s">
        <v>47</v>
      </c>
      <c r="D201">
        <v>2010</v>
      </c>
      <c r="E201" t="s">
        <v>18</v>
      </c>
      <c r="F201" t="s">
        <v>115</v>
      </c>
      <c r="G201">
        <v>3.29</v>
      </c>
      <c r="H201">
        <v>0.06</v>
      </c>
      <c r="I201">
        <v>1.1299999999999999</v>
      </c>
      <c r="J201">
        <v>5.08</v>
      </c>
      <c r="K201">
        <f>SUM(G201:J201)</f>
        <v>9.56</v>
      </c>
      <c r="L201">
        <f>IF(K201&gt;20,10%,5%)</f>
        <v>0.05</v>
      </c>
      <c r="M201">
        <f>K201*L201</f>
        <v>0.47800000000000004</v>
      </c>
      <c r="N201">
        <f>LOOKUP(K201,Lookup!$A$2:$A$5,Lookup!$B$2:$B$5)</f>
        <v>0.1</v>
      </c>
      <c r="O201">
        <f>K201*N201</f>
        <v>0.95600000000000007</v>
      </c>
      <c r="P201">
        <f>K201-M201+O201</f>
        <v>10.038</v>
      </c>
    </row>
    <row r="202" spans="1:16">
      <c r="A202">
        <v>201</v>
      </c>
      <c r="B202" t="s">
        <v>20</v>
      </c>
      <c r="C202" t="s">
        <v>26</v>
      </c>
      <c r="D202">
        <v>1999</v>
      </c>
      <c r="E202" t="s">
        <v>2</v>
      </c>
      <c r="F202" t="s">
        <v>19</v>
      </c>
      <c r="G202">
        <v>1.3</v>
      </c>
      <c r="H202">
        <v>0.15</v>
      </c>
      <c r="I202">
        <v>0.22</v>
      </c>
      <c r="J202">
        <v>5.07</v>
      </c>
      <c r="K202">
        <f>SUM(G202:J202)</f>
        <v>6.74</v>
      </c>
      <c r="L202">
        <f>IF(K202&gt;20,10%,5%)</f>
        <v>0.05</v>
      </c>
      <c r="M202">
        <f>K202*L202</f>
        <v>0.33700000000000002</v>
      </c>
      <c r="N202">
        <f>LOOKUP(K202,Lookup!$A$2:$A$5,Lookup!$B$2:$B$5)</f>
        <v>0.1</v>
      </c>
      <c r="O202">
        <f>K202*N202</f>
        <v>0.67400000000000004</v>
      </c>
      <c r="P202">
        <f>K202-M202+O202</f>
        <v>7.0770000000000008</v>
      </c>
    </row>
    <row r="203" spans="1:16">
      <c r="A203">
        <v>202</v>
      </c>
      <c r="B203" t="s">
        <v>246</v>
      </c>
      <c r="C203" t="s">
        <v>91</v>
      </c>
      <c r="D203">
        <v>1996</v>
      </c>
      <c r="E203" t="s">
        <v>48</v>
      </c>
      <c r="F203" t="s">
        <v>202</v>
      </c>
      <c r="G203">
        <v>1.1599999999999999</v>
      </c>
      <c r="H203">
        <v>1.1100000000000001</v>
      </c>
      <c r="I203">
        <v>0.73</v>
      </c>
      <c r="J203">
        <v>5.05</v>
      </c>
      <c r="K203">
        <f>SUM(G203:J203)</f>
        <v>8.0500000000000007</v>
      </c>
      <c r="L203">
        <f>IF(K203&gt;20,10%,5%)</f>
        <v>0.05</v>
      </c>
      <c r="M203">
        <f>K203*L203</f>
        <v>0.40250000000000008</v>
      </c>
      <c r="N203">
        <f>LOOKUP(K203,Lookup!$A$2:$A$5,Lookup!$B$2:$B$5)</f>
        <v>0.1</v>
      </c>
      <c r="O203">
        <f>K203*N203</f>
        <v>0.80500000000000016</v>
      </c>
      <c r="P203">
        <f>K203-M203+O203</f>
        <v>8.4525000000000006</v>
      </c>
    </row>
    <row r="204" spans="1:16">
      <c r="A204">
        <v>203</v>
      </c>
      <c r="B204" t="s">
        <v>247</v>
      </c>
      <c r="C204" t="s">
        <v>91</v>
      </c>
      <c r="D204">
        <v>1999</v>
      </c>
      <c r="E204" t="s">
        <v>18</v>
      </c>
      <c r="F204" t="s">
        <v>66</v>
      </c>
      <c r="G204">
        <v>1.38</v>
      </c>
      <c r="H204">
        <v>0.02</v>
      </c>
      <c r="I204">
        <v>0.2</v>
      </c>
      <c r="J204">
        <v>5.0199999999999996</v>
      </c>
      <c r="K204">
        <f>SUM(G204:J204)</f>
        <v>6.6199999999999992</v>
      </c>
      <c r="L204">
        <f>IF(K204&gt;20,10%,5%)</f>
        <v>0.05</v>
      </c>
      <c r="M204">
        <f>K204*L204</f>
        <v>0.33099999999999996</v>
      </c>
      <c r="N204">
        <f>LOOKUP(K204,Lookup!$A$2:$A$5,Lookup!$B$2:$B$5)</f>
        <v>0.1</v>
      </c>
      <c r="O204">
        <f>K204*N204</f>
        <v>0.66199999999999992</v>
      </c>
      <c r="P204">
        <f>K204-M204+O204</f>
        <v>6.9509999999999996</v>
      </c>
    </row>
    <row r="205" spans="1:16">
      <c r="A205">
        <v>204</v>
      </c>
      <c r="B205" t="s">
        <v>141</v>
      </c>
      <c r="C205" t="s">
        <v>153</v>
      </c>
      <c r="D205">
        <v>2014</v>
      </c>
      <c r="E205" t="s">
        <v>77</v>
      </c>
      <c r="F205" t="s">
        <v>19</v>
      </c>
      <c r="G205">
        <v>1.06</v>
      </c>
      <c r="H205">
        <v>0.8</v>
      </c>
      <c r="I205">
        <v>0.56999999999999995</v>
      </c>
      <c r="J205">
        <v>5.0199999999999996</v>
      </c>
      <c r="K205">
        <f>SUM(G205:J205)</f>
        <v>7.4499999999999993</v>
      </c>
      <c r="L205">
        <f>IF(K205&gt;20,10%,5%)</f>
        <v>0.05</v>
      </c>
      <c r="M205">
        <f>K205*L205</f>
        <v>0.3725</v>
      </c>
      <c r="N205">
        <f>LOOKUP(K205,Lookup!$A$2:$A$5,Lookup!$B$2:$B$5)</f>
        <v>0.1</v>
      </c>
      <c r="O205">
        <f>K205*N205</f>
        <v>0.745</v>
      </c>
      <c r="P205">
        <f>K205-M205+O205</f>
        <v>7.8224999999999998</v>
      </c>
    </row>
    <row r="206" spans="1:16">
      <c r="A206">
        <v>205</v>
      </c>
      <c r="B206" t="s">
        <v>248</v>
      </c>
      <c r="C206" t="s">
        <v>91</v>
      </c>
      <c r="D206">
        <v>1999</v>
      </c>
      <c r="E206" t="s">
        <v>216</v>
      </c>
      <c r="F206" t="s">
        <v>227</v>
      </c>
      <c r="G206">
        <v>1.89</v>
      </c>
      <c r="H206">
        <v>0</v>
      </c>
      <c r="I206">
        <v>0.33</v>
      </c>
      <c r="J206">
        <v>5.01</v>
      </c>
      <c r="K206">
        <f>SUM(G206:J206)</f>
        <v>7.2299999999999995</v>
      </c>
      <c r="L206">
        <f>IF(K206&gt;20,10%,5%)</f>
        <v>0.05</v>
      </c>
      <c r="M206">
        <f>K206*L206</f>
        <v>0.36149999999999999</v>
      </c>
      <c r="N206">
        <f>LOOKUP(K206,Lookup!$A$2:$A$5,Lookup!$B$2:$B$5)</f>
        <v>0.1</v>
      </c>
      <c r="O206">
        <f>K206*N206</f>
        <v>0.72299999999999998</v>
      </c>
      <c r="P206">
        <f>K206-M206+O206</f>
        <v>7.591499999999999</v>
      </c>
    </row>
    <row r="207" spans="1:16">
      <c r="A207">
        <v>206</v>
      </c>
      <c r="B207" t="s">
        <v>249</v>
      </c>
      <c r="C207" t="s">
        <v>91</v>
      </c>
      <c r="D207">
        <v>1998</v>
      </c>
      <c r="E207" t="s">
        <v>2</v>
      </c>
      <c r="F207" t="s">
        <v>64</v>
      </c>
      <c r="G207">
        <v>1.36</v>
      </c>
      <c r="H207">
        <v>7.0000000000000007E-2</v>
      </c>
      <c r="I207">
        <v>0.21</v>
      </c>
      <c r="J207">
        <v>5</v>
      </c>
      <c r="K207">
        <f>SUM(G207:J207)</f>
        <v>6.6400000000000006</v>
      </c>
      <c r="L207">
        <f>IF(K207&gt;20,10%,5%)</f>
        <v>0.05</v>
      </c>
      <c r="M207">
        <f>K207*L207</f>
        <v>0.33200000000000007</v>
      </c>
      <c r="N207">
        <f>LOOKUP(K207,Lookup!$A$2:$A$5,Lookup!$B$2:$B$5)</f>
        <v>0.1</v>
      </c>
      <c r="O207">
        <f>K207*N207</f>
        <v>0.66400000000000015</v>
      </c>
      <c r="P207">
        <f>K207-M207+O207</f>
        <v>6.9720000000000013</v>
      </c>
    </row>
    <row r="208" spans="1:16">
      <c r="A208">
        <v>207</v>
      </c>
      <c r="B208" t="s">
        <v>250</v>
      </c>
      <c r="C208" t="s">
        <v>17</v>
      </c>
      <c r="D208">
        <v>2007</v>
      </c>
      <c r="E208" t="s">
        <v>36</v>
      </c>
      <c r="F208" t="s">
        <v>19</v>
      </c>
      <c r="G208">
        <v>1.18</v>
      </c>
      <c r="H208">
        <v>0.28999999999999998</v>
      </c>
      <c r="I208">
        <v>0.46</v>
      </c>
      <c r="J208">
        <v>5</v>
      </c>
      <c r="K208">
        <f>SUM(G208:J208)</f>
        <v>6.93</v>
      </c>
      <c r="L208">
        <f>IF(K208&gt;20,10%,5%)</f>
        <v>0.05</v>
      </c>
      <c r="M208">
        <f>K208*L208</f>
        <v>0.34650000000000003</v>
      </c>
      <c r="N208">
        <f>LOOKUP(K208,Lookup!$A$2:$A$5,Lookup!$B$2:$B$5)</f>
        <v>0.1</v>
      </c>
      <c r="O208">
        <f>K208*N208</f>
        <v>0.69300000000000006</v>
      </c>
      <c r="P208">
        <f>K208-M208+O208</f>
        <v>7.2765000000000004</v>
      </c>
    </row>
    <row r="209" spans="1:16">
      <c r="A209">
        <v>208</v>
      </c>
      <c r="B209" t="s">
        <v>251</v>
      </c>
      <c r="C209" t="s">
        <v>51</v>
      </c>
      <c r="D209">
        <v>2007</v>
      </c>
      <c r="E209" t="s">
        <v>33</v>
      </c>
      <c r="F209" t="s">
        <v>66</v>
      </c>
      <c r="G209">
        <v>0.01</v>
      </c>
      <c r="H209">
        <v>0.01</v>
      </c>
      <c r="I209">
        <v>1.48</v>
      </c>
      <c r="J209">
        <v>4.9800000000000004</v>
      </c>
      <c r="K209">
        <f>SUM(G209:J209)</f>
        <v>6.48</v>
      </c>
      <c r="L209">
        <f>IF(K209&gt;20,10%,5%)</f>
        <v>0.05</v>
      </c>
      <c r="M209">
        <f>K209*L209</f>
        <v>0.32400000000000007</v>
      </c>
      <c r="N209">
        <f>LOOKUP(K209,Lookup!$A$2:$A$5,Lookup!$B$2:$B$5)</f>
        <v>0.1</v>
      </c>
      <c r="O209">
        <f>K209*N209</f>
        <v>0.64800000000000013</v>
      </c>
      <c r="P209">
        <f>K209-M209+O209</f>
        <v>6.8040000000000003</v>
      </c>
    </row>
    <row r="210" spans="1:16">
      <c r="A210">
        <v>209</v>
      </c>
      <c r="B210" t="s">
        <v>252</v>
      </c>
      <c r="C210" t="s">
        <v>44</v>
      </c>
      <c r="D210">
        <v>2008</v>
      </c>
      <c r="E210" t="s">
        <v>27</v>
      </c>
      <c r="F210" t="s">
        <v>112</v>
      </c>
      <c r="G210">
        <v>1.03</v>
      </c>
      <c r="H210">
        <v>0.09</v>
      </c>
      <c r="I210">
        <v>0.44</v>
      </c>
      <c r="J210">
        <v>4.96</v>
      </c>
      <c r="K210">
        <f>SUM(G210:J210)</f>
        <v>6.52</v>
      </c>
      <c r="L210">
        <f>IF(K210&gt;20,10%,5%)</f>
        <v>0.05</v>
      </c>
      <c r="M210">
        <f>K210*L210</f>
        <v>0.32600000000000001</v>
      </c>
      <c r="N210">
        <f>LOOKUP(K210,Lookup!$A$2:$A$5,Lookup!$B$2:$B$5)</f>
        <v>0.1</v>
      </c>
      <c r="O210">
        <f>K210*N210</f>
        <v>0.65200000000000002</v>
      </c>
      <c r="P210">
        <f>K210-M210+O210</f>
        <v>6.8460000000000001</v>
      </c>
    </row>
    <row r="211" spans="1:16">
      <c r="A211">
        <v>210</v>
      </c>
      <c r="B211" t="s">
        <v>253</v>
      </c>
      <c r="C211" t="s">
        <v>31</v>
      </c>
      <c r="D211">
        <v>2007</v>
      </c>
      <c r="E211" t="s">
        <v>27</v>
      </c>
      <c r="F211" t="s">
        <v>19</v>
      </c>
      <c r="G211">
        <v>1.2</v>
      </c>
      <c r="H211">
        <v>1.54</v>
      </c>
      <c r="I211">
        <v>0.37</v>
      </c>
      <c r="J211">
        <v>4.96</v>
      </c>
      <c r="K211">
        <f>SUM(G211:J211)</f>
        <v>8.07</v>
      </c>
      <c r="L211">
        <f>IF(K211&gt;20,10%,5%)</f>
        <v>0.05</v>
      </c>
      <c r="M211">
        <f>K211*L211</f>
        <v>0.40350000000000003</v>
      </c>
      <c r="N211">
        <f>LOOKUP(K211,Lookup!$A$2:$A$5,Lookup!$B$2:$B$5)</f>
        <v>0.1</v>
      </c>
      <c r="O211">
        <f>K211*N211</f>
        <v>0.80700000000000005</v>
      </c>
      <c r="P211">
        <f>K211-M211+O211</f>
        <v>8.4734999999999996</v>
      </c>
    </row>
    <row r="212" spans="1:16">
      <c r="A212">
        <v>211</v>
      </c>
      <c r="B212" t="s">
        <v>254</v>
      </c>
      <c r="C212" t="s">
        <v>47</v>
      </c>
      <c r="D212">
        <v>2007</v>
      </c>
      <c r="E212" t="s">
        <v>48</v>
      </c>
      <c r="F212" t="s">
        <v>64</v>
      </c>
      <c r="G212">
        <v>1.73</v>
      </c>
      <c r="H212">
        <v>0.12</v>
      </c>
      <c r="I212">
        <v>0.78</v>
      </c>
      <c r="J212">
        <v>4.9400000000000004</v>
      </c>
      <c r="K212">
        <f>SUM(G212:J212)</f>
        <v>7.57</v>
      </c>
      <c r="L212">
        <f>IF(K212&gt;20,10%,5%)</f>
        <v>0.05</v>
      </c>
      <c r="M212">
        <f>K212*L212</f>
        <v>0.37850000000000006</v>
      </c>
      <c r="N212">
        <f>LOOKUP(K212,Lookup!$A$2:$A$5,Lookup!$B$2:$B$5)</f>
        <v>0.1</v>
      </c>
      <c r="O212">
        <f>K212*N212</f>
        <v>0.75700000000000012</v>
      </c>
      <c r="P212">
        <f>K212-M212+O212</f>
        <v>7.948500000000001</v>
      </c>
    </row>
    <row r="213" spans="1:16">
      <c r="A213">
        <v>212</v>
      </c>
      <c r="B213" t="s">
        <v>255</v>
      </c>
      <c r="C213" t="s">
        <v>51</v>
      </c>
      <c r="D213">
        <v>2005</v>
      </c>
      <c r="E213" t="s">
        <v>18</v>
      </c>
      <c r="F213" t="s">
        <v>115</v>
      </c>
      <c r="G213">
        <v>0.26</v>
      </c>
      <c r="H213">
        <v>0.01</v>
      </c>
      <c r="I213">
        <v>0.66</v>
      </c>
      <c r="J213">
        <v>4.91</v>
      </c>
      <c r="K213">
        <f>SUM(G213:J213)</f>
        <v>5.84</v>
      </c>
      <c r="L213">
        <f>IF(K213&gt;20,10%,5%)</f>
        <v>0.05</v>
      </c>
      <c r="M213">
        <f>K213*L213</f>
        <v>0.29199999999999998</v>
      </c>
      <c r="N213">
        <f>LOOKUP(K213,Lookup!$A$2:$A$5,Lookup!$B$2:$B$5)</f>
        <v>0.1</v>
      </c>
      <c r="O213">
        <f>K213*N213</f>
        <v>0.58399999999999996</v>
      </c>
      <c r="P213">
        <f>K213-M213+O213</f>
        <v>6.1319999999999997</v>
      </c>
    </row>
    <row r="214" spans="1:16">
      <c r="A214">
        <v>213</v>
      </c>
      <c r="B214" t="s">
        <v>199</v>
      </c>
      <c r="C214" t="s">
        <v>31</v>
      </c>
      <c r="D214">
        <v>2007</v>
      </c>
      <c r="E214" t="s">
        <v>48</v>
      </c>
      <c r="F214" t="s">
        <v>200</v>
      </c>
      <c r="G214">
        <v>1.54</v>
      </c>
      <c r="H214">
        <v>0</v>
      </c>
      <c r="I214">
        <v>0.46</v>
      </c>
      <c r="J214">
        <v>4.9000000000000004</v>
      </c>
      <c r="K214">
        <f>SUM(G214:J214)</f>
        <v>6.9</v>
      </c>
      <c r="L214">
        <f>IF(K214&gt;20,10%,5%)</f>
        <v>0.05</v>
      </c>
      <c r="M214">
        <f>K214*L214</f>
        <v>0.34500000000000003</v>
      </c>
      <c r="N214">
        <f>LOOKUP(K214,Lookup!$A$2:$A$5,Lookup!$B$2:$B$5)</f>
        <v>0.1</v>
      </c>
      <c r="O214">
        <f>K214*N214</f>
        <v>0.69000000000000006</v>
      </c>
      <c r="P214">
        <f>K214-M214+O214</f>
        <v>7.245000000000001</v>
      </c>
    </row>
    <row r="215" spans="1:16">
      <c r="A215">
        <v>214</v>
      </c>
      <c r="B215" t="s">
        <v>256</v>
      </c>
      <c r="C215" t="s">
        <v>83</v>
      </c>
      <c r="D215">
        <v>1997</v>
      </c>
      <c r="E215" t="s">
        <v>23</v>
      </c>
      <c r="F215" t="s">
        <v>19</v>
      </c>
      <c r="G215">
        <v>0.99</v>
      </c>
      <c r="H215">
        <v>0.89</v>
      </c>
      <c r="I215">
        <v>0.1</v>
      </c>
      <c r="J215">
        <v>4.88</v>
      </c>
      <c r="K215">
        <f>SUM(G215:J215)</f>
        <v>6.8599999999999994</v>
      </c>
      <c r="L215">
        <f>IF(K215&gt;20,10%,5%)</f>
        <v>0.05</v>
      </c>
      <c r="M215">
        <f>K215*L215</f>
        <v>0.34299999999999997</v>
      </c>
      <c r="N215">
        <f>LOOKUP(K215,Lookup!$A$2:$A$5,Lookup!$B$2:$B$5)</f>
        <v>0.1</v>
      </c>
      <c r="O215">
        <f>K215*N215</f>
        <v>0.68599999999999994</v>
      </c>
      <c r="P215">
        <f>K215-M215+O215</f>
        <v>7.2029999999999994</v>
      </c>
    </row>
    <row r="216" spans="1:16">
      <c r="A216">
        <v>215</v>
      </c>
      <c r="B216" t="s">
        <v>257</v>
      </c>
      <c r="C216" t="s">
        <v>134</v>
      </c>
      <c r="D216">
        <v>2010</v>
      </c>
      <c r="E216" t="s">
        <v>27</v>
      </c>
      <c r="F216" t="s">
        <v>180</v>
      </c>
      <c r="G216">
        <v>0</v>
      </c>
      <c r="H216">
        <v>4.87</v>
      </c>
      <c r="I216">
        <v>0</v>
      </c>
      <c r="J216">
        <v>4.87</v>
      </c>
      <c r="K216">
        <f>SUM(G216:J216)</f>
        <v>9.74</v>
      </c>
      <c r="L216">
        <f>IF(K216&gt;20,10%,5%)</f>
        <v>0.05</v>
      </c>
      <c r="M216">
        <f>K216*L216</f>
        <v>0.48700000000000004</v>
      </c>
      <c r="N216">
        <f>LOOKUP(K216,Lookup!$A$2:$A$5,Lookup!$B$2:$B$5)</f>
        <v>0.1</v>
      </c>
      <c r="O216">
        <f>K216*N216</f>
        <v>0.97400000000000009</v>
      </c>
      <c r="P216">
        <f>K216-M216+O216</f>
        <v>10.227</v>
      </c>
    </row>
    <row r="217" spans="1:16">
      <c r="A217">
        <v>216</v>
      </c>
      <c r="B217" t="s">
        <v>220</v>
      </c>
      <c r="C217" t="s">
        <v>21</v>
      </c>
      <c r="D217">
        <v>1990</v>
      </c>
      <c r="E217" t="s">
        <v>29</v>
      </c>
      <c r="F217" t="s">
        <v>19</v>
      </c>
      <c r="G217">
        <v>0.6</v>
      </c>
      <c r="H217">
        <v>1.52</v>
      </c>
      <c r="I217">
        <v>0.1</v>
      </c>
      <c r="J217">
        <v>4.8499999999999996</v>
      </c>
      <c r="K217">
        <f>SUM(G217:J217)</f>
        <v>7.07</v>
      </c>
      <c r="L217">
        <f>IF(K217&gt;20,10%,5%)</f>
        <v>0.05</v>
      </c>
      <c r="M217">
        <f>K217*L217</f>
        <v>0.35350000000000004</v>
      </c>
      <c r="N217">
        <f>LOOKUP(K217,Lookup!$A$2:$A$5,Lookup!$B$2:$B$5)</f>
        <v>0.1</v>
      </c>
      <c r="O217">
        <f>K217*N217</f>
        <v>0.70700000000000007</v>
      </c>
      <c r="P217">
        <f>K217-M217+O217</f>
        <v>7.4234999999999998</v>
      </c>
    </row>
    <row r="218" spans="1:16">
      <c r="A218">
        <v>217</v>
      </c>
      <c r="B218" t="s">
        <v>258</v>
      </c>
      <c r="C218" t="s">
        <v>47</v>
      </c>
      <c r="D218">
        <v>2010</v>
      </c>
      <c r="E218" t="s">
        <v>48</v>
      </c>
      <c r="F218" t="s">
        <v>64</v>
      </c>
      <c r="G218">
        <v>1.36</v>
      </c>
      <c r="H218">
        <v>0.12</v>
      </c>
      <c r="I218">
        <v>0.63</v>
      </c>
      <c r="J218">
        <v>4.84</v>
      </c>
      <c r="K218">
        <f>SUM(G218:J218)</f>
        <v>6.9499999999999993</v>
      </c>
      <c r="L218">
        <f>IF(K218&gt;20,10%,5%)</f>
        <v>0.05</v>
      </c>
      <c r="M218">
        <f>K218*L218</f>
        <v>0.34749999999999998</v>
      </c>
      <c r="N218">
        <f>LOOKUP(K218,Lookup!$A$2:$A$5,Lookup!$B$2:$B$5)</f>
        <v>0.1</v>
      </c>
      <c r="O218">
        <f>K218*N218</f>
        <v>0.69499999999999995</v>
      </c>
      <c r="P218">
        <f>K218-M218+O218</f>
        <v>7.2974999999999994</v>
      </c>
    </row>
    <row r="219" spans="1:16">
      <c r="A219">
        <v>218</v>
      </c>
      <c r="B219" t="s">
        <v>259</v>
      </c>
      <c r="C219" t="s">
        <v>123</v>
      </c>
      <c r="D219">
        <v>2010</v>
      </c>
      <c r="E219" t="s">
        <v>216</v>
      </c>
      <c r="F219" t="s">
        <v>66</v>
      </c>
      <c r="G219">
        <v>1.68</v>
      </c>
      <c r="H219">
        <v>0</v>
      </c>
      <c r="I219">
        <v>0.59</v>
      </c>
      <c r="J219">
        <v>4.83</v>
      </c>
      <c r="K219">
        <f>SUM(G219:J219)</f>
        <v>7.1</v>
      </c>
      <c r="L219">
        <f>IF(K219&gt;20,10%,5%)</f>
        <v>0.05</v>
      </c>
      <c r="M219">
        <f>K219*L219</f>
        <v>0.35499999999999998</v>
      </c>
      <c r="N219">
        <f>LOOKUP(K219,Lookup!$A$2:$A$5,Lookup!$B$2:$B$5)</f>
        <v>0.1</v>
      </c>
      <c r="O219">
        <f>K219*N219</f>
        <v>0.71</v>
      </c>
      <c r="P219">
        <f>K219-M219+O219</f>
        <v>7.4549999999999992</v>
      </c>
    </row>
    <row r="220" spans="1:16">
      <c r="A220">
        <v>219</v>
      </c>
      <c r="B220" t="s">
        <v>208</v>
      </c>
      <c r="C220" t="s">
        <v>47</v>
      </c>
      <c r="D220">
        <v>2007</v>
      </c>
      <c r="E220" t="s">
        <v>88</v>
      </c>
      <c r="F220" t="s">
        <v>97</v>
      </c>
      <c r="G220">
        <v>2</v>
      </c>
      <c r="H220">
        <v>0.09</v>
      </c>
      <c r="I220">
        <v>0.83</v>
      </c>
      <c r="J220">
        <v>4.83</v>
      </c>
      <c r="K220">
        <f>SUM(G220:J220)</f>
        <v>7.75</v>
      </c>
      <c r="L220">
        <f>IF(K220&gt;20,10%,5%)</f>
        <v>0.05</v>
      </c>
      <c r="M220">
        <f>K220*L220</f>
        <v>0.38750000000000001</v>
      </c>
      <c r="N220">
        <f>LOOKUP(K220,Lookup!$A$2:$A$5,Lookup!$B$2:$B$5)</f>
        <v>0.1</v>
      </c>
      <c r="O220">
        <f>K220*N220</f>
        <v>0.77500000000000002</v>
      </c>
      <c r="P220">
        <f>K220-M220+O220</f>
        <v>8.1374999999999993</v>
      </c>
    </row>
    <row r="221" spans="1:16">
      <c r="A221">
        <v>220</v>
      </c>
      <c r="B221" t="s">
        <v>169</v>
      </c>
      <c r="C221" t="s">
        <v>47</v>
      </c>
      <c r="D221">
        <v>2014</v>
      </c>
      <c r="E221" t="s">
        <v>18</v>
      </c>
      <c r="F221" t="s">
        <v>115</v>
      </c>
      <c r="G221">
        <v>3.14</v>
      </c>
      <c r="H221">
        <v>0.04</v>
      </c>
      <c r="I221">
        <v>1.07</v>
      </c>
      <c r="J221">
        <v>4.82</v>
      </c>
      <c r="K221">
        <f>SUM(G221:J221)</f>
        <v>9.07</v>
      </c>
      <c r="L221">
        <f>IF(K221&gt;20,10%,5%)</f>
        <v>0.05</v>
      </c>
      <c r="M221">
        <f>K221*L221</f>
        <v>0.45350000000000001</v>
      </c>
      <c r="N221">
        <f>LOOKUP(K221,Lookup!$A$2:$A$5,Lookup!$B$2:$B$5)</f>
        <v>0.1</v>
      </c>
      <c r="O221">
        <f>K221*N221</f>
        <v>0.90700000000000003</v>
      </c>
      <c r="P221">
        <f>K221-M221+O221</f>
        <v>9.5235000000000003</v>
      </c>
    </row>
    <row r="222" spans="1:16">
      <c r="A222">
        <v>221</v>
      </c>
      <c r="B222" t="s">
        <v>260</v>
      </c>
      <c r="C222" t="s">
        <v>91</v>
      </c>
      <c r="D222">
        <v>1999</v>
      </c>
      <c r="E222" t="s">
        <v>23</v>
      </c>
      <c r="F222" t="s">
        <v>64</v>
      </c>
      <c r="G222">
        <v>1.57</v>
      </c>
      <c r="H222">
        <v>0.44</v>
      </c>
      <c r="I222">
        <v>0.21</v>
      </c>
      <c r="J222">
        <v>4.79</v>
      </c>
      <c r="K222">
        <f>SUM(G222:J222)</f>
        <v>7.01</v>
      </c>
      <c r="L222">
        <f>IF(K222&gt;20,10%,5%)</f>
        <v>0.05</v>
      </c>
      <c r="M222">
        <f>K222*L222</f>
        <v>0.35050000000000003</v>
      </c>
      <c r="N222">
        <f>LOOKUP(K222,Lookup!$A$2:$A$5,Lookup!$B$2:$B$5)</f>
        <v>0.1</v>
      </c>
      <c r="O222">
        <f>K222*N222</f>
        <v>0.70100000000000007</v>
      </c>
      <c r="P222">
        <f>K222-M222+O222</f>
        <v>7.3605</v>
      </c>
    </row>
    <row r="223" spans="1:16">
      <c r="A223">
        <v>222</v>
      </c>
      <c r="B223" t="s">
        <v>261</v>
      </c>
      <c r="C223" t="s">
        <v>72</v>
      </c>
      <c r="D223">
        <v>2016</v>
      </c>
      <c r="E223" t="s">
        <v>18</v>
      </c>
      <c r="F223" t="s">
        <v>115</v>
      </c>
      <c r="G223">
        <v>3.75</v>
      </c>
      <c r="H223">
        <v>0.06</v>
      </c>
      <c r="I223">
        <v>0.69</v>
      </c>
      <c r="J223">
        <v>4.7699999999999996</v>
      </c>
      <c r="K223">
        <f>SUM(G223:J223)</f>
        <v>9.27</v>
      </c>
      <c r="L223">
        <f>IF(K223&gt;20,10%,5%)</f>
        <v>0.05</v>
      </c>
      <c r="M223">
        <f>K223*L223</f>
        <v>0.46350000000000002</v>
      </c>
      <c r="N223">
        <f>LOOKUP(K223,Lookup!$A$2:$A$5,Lookup!$B$2:$B$5)</f>
        <v>0.1</v>
      </c>
      <c r="O223">
        <f>K223*N223</f>
        <v>0.92700000000000005</v>
      </c>
      <c r="P223">
        <f>K223-M223+O223</f>
        <v>9.7334999999999994</v>
      </c>
    </row>
    <row r="224" spans="1:16">
      <c r="A224">
        <v>223</v>
      </c>
      <c r="B224" t="s">
        <v>209</v>
      </c>
      <c r="C224" t="s">
        <v>44</v>
      </c>
      <c r="D224">
        <v>2011</v>
      </c>
      <c r="E224" t="s">
        <v>48</v>
      </c>
      <c r="F224" t="s">
        <v>210</v>
      </c>
      <c r="G224">
        <v>1.31</v>
      </c>
      <c r="H224">
        <v>0.04</v>
      </c>
      <c r="I224">
        <v>0.41</v>
      </c>
      <c r="J224">
        <v>4.76</v>
      </c>
      <c r="K224">
        <f>SUM(G224:J224)</f>
        <v>6.52</v>
      </c>
      <c r="L224">
        <f>IF(K224&gt;20,10%,5%)</f>
        <v>0.05</v>
      </c>
      <c r="M224">
        <f>K224*L224</f>
        <v>0.32600000000000001</v>
      </c>
      <c r="N224">
        <f>LOOKUP(K224,Lookup!$A$2:$A$5,Lookup!$B$2:$B$5)</f>
        <v>0.1</v>
      </c>
      <c r="O224">
        <f>K224*N224</f>
        <v>0.65200000000000002</v>
      </c>
      <c r="P224">
        <f>K224-M224+O224</f>
        <v>6.8460000000000001</v>
      </c>
    </row>
    <row r="225" spans="1:16">
      <c r="A225">
        <v>224</v>
      </c>
      <c r="B225" t="s">
        <v>262</v>
      </c>
      <c r="C225" t="s">
        <v>91</v>
      </c>
      <c r="D225">
        <v>2000</v>
      </c>
      <c r="E225" t="s">
        <v>48</v>
      </c>
      <c r="F225" t="s">
        <v>132</v>
      </c>
      <c r="G225">
        <v>2.1</v>
      </c>
      <c r="H225">
        <v>0.02</v>
      </c>
      <c r="I225">
        <v>0.25</v>
      </c>
      <c r="J225">
        <v>4.7300000000000004</v>
      </c>
      <c r="K225">
        <f>SUM(G225:J225)</f>
        <v>7.1000000000000005</v>
      </c>
      <c r="L225">
        <f>IF(K225&gt;20,10%,5%)</f>
        <v>0.05</v>
      </c>
      <c r="M225">
        <f>K225*L225</f>
        <v>0.35500000000000004</v>
      </c>
      <c r="N225">
        <f>LOOKUP(K225,Lookup!$A$2:$A$5,Lookup!$B$2:$B$5)</f>
        <v>0.1</v>
      </c>
      <c r="O225">
        <f>K225*N225</f>
        <v>0.71000000000000008</v>
      </c>
      <c r="P225">
        <f>K225-M225+O225</f>
        <v>7.4550000000000001</v>
      </c>
    </row>
    <row r="226" spans="1:16">
      <c r="A226">
        <v>225</v>
      </c>
      <c r="B226" t="s">
        <v>263</v>
      </c>
      <c r="C226" t="s">
        <v>51</v>
      </c>
      <c r="D226">
        <v>2003</v>
      </c>
      <c r="E226" t="s">
        <v>23</v>
      </c>
      <c r="F226" t="s">
        <v>264</v>
      </c>
      <c r="G226">
        <v>2.19</v>
      </c>
      <c r="H226">
        <v>0</v>
      </c>
      <c r="I226">
        <v>0.79</v>
      </c>
      <c r="J226">
        <v>4.7</v>
      </c>
      <c r="K226">
        <f>SUM(G226:J226)</f>
        <v>7.68</v>
      </c>
      <c r="L226">
        <f>IF(K226&gt;20,10%,5%)</f>
        <v>0.05</v>
      </c>
      <c r="M226">
        <f>K226*L226</f>
        <v>0.38400000000000001</v>
      </c>
      <c r="N226">
        <f>LOOKUP(K226,Lookup!$A$2:$A$5,Lookup!$B$2:$B$5)</f>
        <v>0.1</v>
      </c>
      <c r="O226">
        <f>K226*N226</f>
        <v>0.76800000000000002</v>
      </c>
      <c r="P226">
        <f>K226-M226+O226</f>
        <v>8.0640000000000001</v>
      </c>
    </row>
    <row r="227" spans="1:16">
      <c r="A227">
        <v>226</v>
      </c>
      <c r="B227" t="s">
        <v>265</v>
      </c>
      <c r="C227" t="s">
        <v>91</v>
      </c>
      <c r="D227">
        <v>2000</v>
      </c>
      <c r="E227" t="s">
        <v>18</v>
      </c>
      <c r="F227" t="s">
        <v>66</v>
      </c>
      <c r="G227">
        <v>1.41</v>
      </c>
      <c r="H227">
        <v>0.02</v>
      </c>
      <c r="I227">
        <v>0.2</v>
      </c>
      <c r="J227">
        <v>4.68</v>
      </c>
      <c r="K227">
        <f>SUM(G227:J227)</f>
        <v>6.31</v>
      </c>
      <c r="L227">
        <f>IF(K227&gt;20,10%,5%)</f>
        <v>0.05</v>
      </c>
      <c r="M227">
        <f>K227*L227</f>
        <v>0.3155</v>
      </c>
      <c r="N227">
        <f>LOOKUP(K227,Lookup!$A$2:$A$5,Lookup!$B$2:$B$5)</f>
        <v>0.1</v>
      </c>
      <c r="O227">
        <f>K227*N227</f>
        <v>0.63100000000000001</v>
      </c>
      <c r="P227">
        <f>K227-M227+O227</f>
        <v>6.6254999999999997</v>
      </c>
    </row>
    <row r="228" spans="1:16">
      <c r="A228">
        <v>227</v>
      </c>
      <c r="B228" t="s">
        <v>266</v>
      </c>
      <c r="C228" t="s">
        <v>17</v>
      </c>
      <c r="D228">
        <v>2008</v>
      </c>
      <c r="E228" t="s">
        <v>38</v>
      </c>
      <c r="F228" t="s">
        <v>19</v>
      </c>
      <c r="G228">
        <v>1.1200000000000001</v>
      </c>
      <c r="H228">
        <v>1.32</v>
      </c>
      <c r="I228">
        <v>0.37</v>
      </c>
      <c r="J228">
        <v>4.68</v>
      </c>
      <c r="K228">
        <f>SUM(G228:J228)</f>
        <v>7.49</v>
      </c>
      <c r="L228">
        <f>IF(K228&gt;20,10%,5%)</f>
        <v>0.05</v>
      </c>
      <c r="M228">
        <f>K228*L228</f>
        <v>0.37450000000000006</v>
      </c>
      <c r="N228">
        <f>LOOKUP(K228,Lookup!$A$2:$A$5,Lookup!$B$2:$B$5)</f>
        <v>0.1</v>
      </c>
      <c r="O228">
        <f>K228*N228</f>
        <v>0.74900000000000011</v>
      </c>
      <c r="P228">
        <f>K228-M228+O228</f>
        <v>7.8644999999999996</v>
      </c>
    </row>
    <row r="229" spans="1:16">
      <c r="A229">
        <v>228</v>
      </c>
      <c r="B229" t="s">
        <v>267</v>
      </c>
      <c r="C229" t="s">
        <v>51</v>
      </c>
      <c r="D229">
        <v>2002</v>
      </c>
      <c r="E229" t="s">
        <v>48</v>
      </c>
      <c r="F229" t="s">
        <v>115</v>
      </c>
      <c r="G229">
        <v>1.95</v>
      </c>
      <c r="H229">
        <v>0.08</v>
      </c>
      <c r="I229">
        <v>0.7</v>
      </c>
      <c r="J229">
        <v>4.67</v>
      </c>
      <c r="K229">
        <f>SUM(G229:J229)</f>
        <v>7.3999999999999995</v>
      </c>
      <c r="L229">
        <f>IF(K229&gt;20,10%,5%)</f>
        <v>0.05</v>
      </c>
      <c r="M229">
        <f>K229*L229</f>
        <v>0.37</v>
      </c>
      <c r="N229">
        <f>LOOKUP(K229,Lookup!$A$2:$A$5,Lookup!$B$2:$B$5)</f>
        <v>0.1</v>
      </c>
      <c r="O229">
        <f>K229*N229</f>
        <v>0.74</v>
      </c>
      <c r="P229">
        <f>K229-M229+O229</f>
        <v>7.77</v>
      </c>
    </row>
    <row r="230" spans="1:16">
      <c r="A230">
        <v>229</v>
      </c>
      <c r="B230" t="s">
        <v>268</v>
      </c>
      <c r="C230" t="s">
        <v>44</v>
      </c>
      <c r="D230">
        <v>2011</v>
      </c>
      <c r="E230" t="s">
        <v>23</v>
      </c>
      <c r="F230" t="s">
        <v>45</v>
      </c>
      <c r="G230">
        <v>2.04</v>
      </c>
      <c r="H230">
        <v>0.06</v>
      </c>
      <c r="I230">
        <v>0.47</v>
      </c>
      <c r="J230">
        <v>4.6399999999999997</v>
      </c>
      <c r="K230">
        <f>SUM(G230:J230)</f>
        <v>7.21</v>
      </c>
      <c r="L230">
        <f>IF(K230&gt;20,10%,5%)</f>
        <v>0.05</v>
      </c>
      <c r="M230">
        <f>K230*L230</f>
        <v>0.36050000000000004</v>
      </c>
      <c r="N230">
        <f>LOOKUP(K230,Lookup!$A$2:$A$5,Lookup!$B$2:$B$5)</f>
        <v>0.1</v>
      </c>
      <c r="O230">
        <f>K230*N230</f>
        <v>0.72100000000000009</v>
      </c>
      <c r="P230">
        <f>K230-M230+O230</f>
        <v>7.5705</v>
      </c>
    </row>
    <row r="231" spans="1:16">
      <c r="A231">
        <v>230</v>
      </c>
      <c r="B231" t="s">
        <v>269</v>
      </c>
      <c r="C231" t="s">
        <v>91</v>
      </c>
      <c r="D231">
        <v>1996</v>
      </c>
      <c r="E231" t="s">
        <v>48</v>
      </c>
      <c r="F231" t="s">
        <v>227</v>
      </c>
      <c r="G231">
        <v>1.97</v>
      </c>
      <c r="H231">
        <v>0.13</v>
      </c>
      <c r="I231">
        <v>0.24</v>
      </c>
      <c r="J231">
        <v>4.63</v>
      </c>
      <c r="K231">
        <f>SUM(G231:J231)</f>
        <v>6.97</v>
      </c>
      <c r="L231">
        <f>IF(K231&gt;20,10%,5%)</f>
        <v>0.05</v>
      </c>
      <c r="M231">
        <f>K231*L231</f>
        <v>0.34850000000000003</v>
      </c>
      <c r="N231">
        <f>LOOKUP(K231,Lookup!$A$2:$A$5,Lookup!$B$2:$B$5)</f>
        <v>0.1</v>
      </c>
      <c r="O231">
        <f>K231*N231</f>
        <v>0.69700000000000006</v>
      </c>
      <c r="P231">
        <f>K231-M231+O231</f>
        <v>7.3184999999999993</v>
      </c>
    </row>
    <row r="232" spans="1:16">
      <c r="A232">
        <v>231</v>
      </c>
      <c r="B232" t="s">
        <v>251</v>
      </c>
      <c r="C232" t="s">
        <v>17</v>
      </c>
      <c r="D232">
        <v>2007</v>
      </c>
      <c r="E232" t="s">
        <v>33</v>
      </c>
      <c r="F232" t="s">
        <v>66</v>
      </c>
      <c r="G232">
        <v>1.1200000000000001</v>
      </c>
      <c r="H232">
        <v>0</v>
      </c>
      <c r="I232">
        <v>0.44</v>
      </c>
      <c r="J232">
        <v>4.62</v>
      </c>
      <c r="K232">
        <f>SUM(G232:J232)</f>
        <v>6.18</v>
      </c>
      <c r="L232">
        <f>IF(K232&gt;20,10%,5%)</f>
        <v>0.05</v>
      </c>
      <c r="M232">
        <f>K232*L232</f>
        <v>0.309</v>
      </c>
      <c r="N232">
        <f>LOOKUP(K232,Lookup!$A$2:$A$5,Lookup!$B$2:$B$5)</f>
        <v>0.1</v>
      </c>
      <c r="O232">
        <f>K232*N232</f>
        <v>0.61799999999999999</v>
      </c>
      <c r="P232">
        <f>K232-M232+O232</f>
        <v>6.4889999999999999</v>
      </c>
    </row>
    <row r="233" spans="1:16">
      <c r="A233">
        <v>232</v>
      </c>
      <c r="B233" t="s">
        <v>270</v>
      </c>
      <c r="C233" t="s">
        <v>53</v>
      </c>
      <c r="D233">
        <v>1991</v>
      </c>
      <c r="E233" t="s">
        <v>48</v>
      </c>
      <c r="F233" t="s">
        <v>19</v>
      </c>
      <c r="G233">
        <v>0.91</v>
      </c>
      <c r="H233">
        <v>1.1499999999999999</v>
      </c>
      <c r="I233">
        <v>0.13</v>
      </c>
      <c r="J233">
        <v>4.6100000000000003</v>
      </c>
      <c r="K233">
        <f>SUM(G233:J233)</f>
        <v>6.8000000000000007</v>
      </c>
      <c r="L233">
        <f>IF(K233&gt;20,10%,5%)</f>
        <v>0.05</v>
      </c>
      <c r="M233">
        <f>K233*L233</f>
        <v>0.34000000000000008</v>
      </c>
      <c r="N233">
        <f>LOOKUP(K233,Lookup!$A$2:$A$5,Lookup!$B$2:$B$5)</f>
        <v>0.1</v>
      </c>
      <c r="O233">
        <f>K233*N233</f>
        <v>0.68000000000000016</v>
      </c>
      <c r="P233">
        <f>K233-M233+O233</f>
        <v>7.1400000000000006</v>
      </c>
    </row>
    <row r="234" spans="1:16">
      <c r="A234">
        <v>233</v>
      </c>
      <c r="B234" t="s">
        <v>271</v>
      </c>
      <c r="C234" t="s">
        <v>151</v>
      </c>
      <c r="D234">
        <v>2002</v>
      </c>
      <c r="E234" t="s">
        <v>48</v>
      </c>
      <c r="F234" t="s">
        <v>19</v>
      </c>
      <c r="G234">
        <v>0.99</v>
      </c>
      <c r="H234">
        <v>0.89</v>
      </c>
      <c r="I234">
        <v>0.13</v>
      </c>
      <c r="J234">
        <v>4.5999999999999996</v>
      </c>
      <c r="K234">
        <f>SUM(G234:J234)</f>
        <v>6.6099999999999994</v>
      </c>
      <c r="L234">
        <f>IF(K234&gt;20,10%,5%)</f>
        <v>0.05</v>
      </c>
      <c r="M234">
        <f>K234*L234</f>
        <v>0.33050000000000002</v>
      </c>
      <c r="N234">
        <f>LOOKUP(K234,Lookup!$A$2:$A$5,Lookup!$B$2:$B$5)</f>
        <v>0.1</v>
      </c>
      <c r="O234">
        <f>K234*N234</f>
        <v>0.66100000000000003</v>
      </c>
      <c r="P234">
        <f>K234-M234+O234</f>
        <v>6.9405000000000001</v>
      </c>
    </row>
    <row r="235" spans="1:16">
      <c r="A235">
        <v>234</v>
      </c>
      <c r="B235" t="s">
        <v>272</v>
      </c>
      <c r="C235" t="s">
        <v>17</v>
      </c>
      <c r="D235">
        <v>2009</v>
      </c>
      <c r="E235" t="s">
        <v>18</v>
      </c>
      <c r="F235" t="s">
        <v>126</v>
      </c>
      <c r="G235">
        <v>1.99</v>
      </c>
      <c r="H235">
        <v>0.22</v>
      </c>
      <c r="I235">
        <v>0.48</v>
      </c>
      <c r="J235">
        <v>4.58</v>
      </c>
      <c r="K235">
        <f>SUM(G235:J235)</f>
        <v>7.27</v>
      </c>
      <c r="L235">
        <f>IF(K235&gt;20,10%,5%)</f>
        <v>0.05</v>
      </c>
      <c r="M235">
        <f>K235*L235</f>
        <v>0.36349999999999999</v>
      </c>
      <c r="N235">
        <f>LOOKUP(K235,Lookup!$A$2:$A$5,Lookup!$B$2:$B$5)</f>
        <v>0.1</v>
      </c>
      <c r="O235">
        <f>K235*N235</f>
        <v>0.72699999999999998</v>
      </c>
      <c r="P235">
        <f>K235-M235+O235</f>
        <v>7.6334999999999997</v>
      </c>
    </row>
    <row r="236" spans="1:16">
      <c r="A236">
        <v>235</v>
      </c>
      <c r="B236" t="s">
        <v>273</v>
      </c>
      <c r="C236" t="s">
        <v>70</v>
      </c>
      <c r="D236">
        <v>2013</v>
      </c>
      <c r="E236" t="s">
        <v>48</v>
      </c>
      <c r="F236" t="s">
        <v>19</v>
      </c>
      <c r="G236">
        <v>1.39</v>
      </c>
      <c r="H236">
        <v>1.1000000000000001</v>
      </c>
      <c r="I236">
        <v>0.3</v>
      </c>
      <c r="J236">
        <v>4.58</v>
      </c>
      <c r="K236">
        <f>SUM(G236:J236)</f>
        <v>7.37</v>
      </c>
      <c r="L236">
        <f>IF(K236&gt;20,10%,5%)</f>
        <v>0.05</v>
      </c>
      <c r="M236">
        <f>K236*L236</f>
        <v>0.36850000000000005</v>
      </c>
      <c r="N236">
        <f>LOOKUP(K236,Lookup!$A$2:$A$5,Lookup!$B$2:$B$5)</f>
        <v>0.1</v>
      </c>
      <c r="O236">
        <f>K236*N236</f>
        <v>0.7370000000000001</v>
      </c>
      <c r="P236">
        <f>K236-M236+O236</f>
        <v>7.7385000000000002</v>
      </c>
    </row>
    <row r="237" spans="1:16">
      <c r="A237">
        <v>236</v>
      </c>
      <c r="B237" t="s">
        <v>274</v>
      </c>
      <c r="C237" t="s">
        <v>153</v>
      </c>
      <c r="D237">
        <v>2015</v>
      </c>
      <c r="E237" t="s">
        <v>36</v>
      </c>
      <c r="F237" t="s">
        <v>19</v>
      </c>
      <c r="G237">
        <v>1.1499999999999999</v>
      </c>
      <c r="H237">
        <v>1.44</v>
      </c>
      <c r="I237">
        <v>0.43</v>
      </c>
      <c r="J237">
        <v>4.57</v>
      </c>
      <c r="K237">
        <f>SUM(G237:J237)</f>
        <v>7.59</v>
      </c>
      <c r="L237">
        <f>IF(K237&gt;20,10%,5%)</f>
        <v>0.05</v>
      </c>
      <c r="M237">
        <f>K237*L237</f>
        <v>0.3795</v>
      </c>
      <c r="N237">
        <f>LOOKUP(K237,Lookup!$A$2:$A$5,Lookup!$B$2:$B$5)</f>
        <v>0.1</v>
      </c>
      <c r="O237">
        <f>K237*N237</f>
        <v>0.75900000000000001</v>
      </c>
      <c r="P237">
        <f>K237-M237+O237</f>
        <v>7.9695</v>
      </c>
    </row>
    <row r="238" spans="1:16">
      <c r="A238">
        <v>237</v>
      </c>
      <c r="B238" t="s">
        <v>193</v>
      </c>
      <c r="C238" t="s">
        <v>72</v>
      </c>
      <c r="D238">
        <v>2014</v>
      </c>
      <c r="E238" t="s">
        <v>48</v>
      </c>
      <c r="F238" t="s">
        <v>64</v>
      </c>
      <c r="G238">
        <v>1.87</v>
      </c>
      <c r="H238">
        <v>7.0000000000000007E-2</v>
      </c>
      <c r="I238">
        <v>0.82</v>
      </c>
      <c r="J238">
        <v>4.55</v>
      </c>
      <c r="K238">
        <f>SUM(G238:J238)</f>
        <v>7.3100000000000005</v>
      </c>
      <c r="L238">
        <f>IF(K238&gt;20,10%,5%)</f>
        <v>0.05</v>
      </c>
      <c r="M238">
        <f>K238*L238</f>
        <v>0.36550000000000005</v>
      </c>
      <c r="N238">
        <f>LOOKUP(K238,Lookup!$A$2:$A$5,Lookup!$B$2:$B$5)</f>
        <v>0.1</v>
      </c>
      <c r="O238">
        <f>K238*N238</f>
        <v>0.73100000000000009</v>
      </c>
      <c r="P238">
        <f>K238-M238+O238</f>
        <v>7.6755000000000004</v>
      </c>
    </row>
    <row r="239" spans="1:16">
      <c r="A239">
        <v>238</v>
      </c>
      <c r="B239" t="s">
        <v>251</v>
      </c>
      <c r="C239" t="s">
        <v>44</v>
      </c>
      <c r="D239">
        <v>2007</v>
      </c>
      <c r="E239" t="s">
        <v>33</v>
      </c>
      <c r="F239" t="s">
        <v>66</v>
      </c>
      <c r="G239">
        <v>0.92</v>
      </c>
      <c r="H239">
        <v>0.01</v>
      </c>
      <c r="I239">
        <v>0.42</v>
      </c>
      <c r="J239">
        <v>4.53</v>
      </c>
      <c r="K239">
        <f>SUM(G239:J239)</f>
        <v>5.8800000000000008</v>
      </c>
      <c r="L239">
        <f>IF(K239&gt;20,10%,5%)</f>
        <v>0.05</v>
      </c>
      <c r="M239">
        <f>K239*L239</f>
        <v>0.29400000000000004</v>
      </c>
      <c r="N239">
        <f>LOOKUP(K239,Lookup!$A$2:$A$5,Lookup!$B$2:$B$5)</f>
        <v>0.1</v>
      </c>
      <c r="O239">
        <f>K239*N239</f>
        <v>0.58800000000000008</v>
      </c>
      <c r="P239">
        <f>K239-M239+O239</f>
        <v>6.1740000000000004</v>
      </c>
    </row>
    <row r="240" spans="1:16">
      <c r="A240">
        <v>239</v>
      </c>
      <c r="B240" t="s">
        <v>275</v>
      </c>
      <c r="C240" t="s">
        <v>51</v>
      </c>
      <c r="D240">
        <v>2004</v>
      </c>
      <c r="E240" t="s">
        <v>18</v>
      </c>
      <c r="F240" t="s">
        <v>115</v>
      </c>
      <c r="G240">
        <v>0.26</v>
      </c>
      <c r="H240">
        <v>0.01</v>
      </c>
      <c r="I240">
        <v>0.08</v>
      </c>
      <c r="J240">
        <v>4.53</v>
      </c>
      <c r="K240">
        <f>SUM(G240:J240)</f>
        <v>4.88</v>
      </c>
      <c r="L240">
        <f>IF(K240&gt;20,10%,5%)</f>
        <v>0.05</v>
      </c>
      <c r="M240">
        <f>K240*L240</f>
        <v>0.24399999999999999</v>
      </c>
      <c r="N240">
        <f>LOOKUP(K240,Lookup!$A$2:$A$5,Lookup!$B$2:$B$5)</f>
        <v>0.1</v>
      </c>
      <c r="O240">
        <f>K240*N240</f>
        <v>0.48799999999999999</v>
      </c>
      <c r="P240">
        <f>K240-M240+O240</f>
        <v>5.1240000000000006</v>
      </c>
    </row>
    <row r="241" spans="1:16">
      <c r="A241">
        <v>240</v>
      </c>
      <c r="B241" t="s">
        <v>276</v>
      </c>
      <c r="C241">
        <v>2600</v>
      </c>
      <c r="D241">
        <v>1981</v>
      </c>
      <c r="E241" t="s">
        <v>2</v>
      </c>
      <c r="F241" t="s">
        <v>66</v>
      </c>
      <c r="G241">
        <v>0.24</v>
      </c>
      <c r="H241">
        <v>0</v>
      </c>
      <c r="I241">
        <v>0.05</v>
      </c>
      <c r="J241">
        <v>4.5</v>
      </c>
      <c r="K241">
        <f>SUM(G241:J241)</f>
        <v>4.79</v>
      </c>
      <c r="L241">
        <f>IF(K241&gt;20,10%,5%)</f>
        <v>0.05</v>
      </c>
      <c r="M241">
        <f>K241*L241</f>
        <v>0.23950000000000002</v>
      </c>
      <c r="N241">
        <f>LOOKUP(K241,Lookup!$A$2:$A$5,Lookup!$B$2:$B$5)</f>
        <v>0.1</v>
      </c>
      <c r="O241">
        <f>K241*N241</f>
        <v>0.47900000000000004</v>
      </c>
      <c r="P241">
        <f>K241-M241+O241</f>
        <v>5.0295000000000005</v>
      </c>
    </row>
    <row r="242" spans="1:16">
      <c r="A242">
        <v>241</v>
      </c>
      <c r="B242" t="s">
        <v>277</v>
      </c>
      <c r="C242" t="s">
        <v>51</v>
      </c>
      <c r="D242">
        <v>2006</v>
      </c>
      <c r="E242" t="s">
        <v>18</v>
      </c>
      <c r="F242" t="s">
        <v>115</v>
      </c>
      <c r="G242">
        <v>0.24</v>
      </c>
      <c r="H242">
        <v>0.01</v>
      </c>
      <c r="I242">
        <v>0.61</v>
      </c>
      <c r="J242">
        <v>4.49</v>
      </c>
      <c r="K242">
        <f>SUM(G242:J242)</f>
        <v>5.3500000000000005</v>
      </c>
      <c r="L242">
        <f>IF(K242&gt;20,10%,5%)</f>
        <v>0.05</v>
      </c>
      <c r="M242">
        <f>K242*L242</f>
        <v>0.26750000000000002</v>
      </c>
      <c r="N242">
        <f>LOOKUP(K242,Lookup!$A$2:$A$5,Lookup!$B$2:$B$5)</f>
        <v>0.1</v>
      </c>
      <c r="O242">
        <f>K242*N242</f>
        <v>0.53500000000000003</v>
      </c>
      <c r="P242">
        <f>K242-M242+O242</f>
        <v>5.6175000000000006</v>
      </c>
    </row>
    <row r="243" spans="1:16">
      <c r="A243">
        <v>242</v>
      </c>
      <c r="B243" t="s">
        <v>278</v>
      </c>
      <c r="C243" t="s">
        <v>51</v>
      </c>
      <c r="D243">
        <v>2002</v>
      </c>
      <c r="E243" t="s">
        <v>48</v>
      </c>
      <c r="F243" t="s">
        <v>66</v>
      </c>
      <c r="G243">
        <v>1.51</v>
      </c>
      <c r="H243">
        <v>0.03</v>
      </c>
      <c r="I243">
        <v>0.23</v>
      </c>
      <c r="J243">
        <v>4.4800000000000004</v>
      </c>
      <c r="K243">
        <f>SUM(G243:J243)</f>
        <v>6.25</v>
      </c>
      <c r="L243">
        <f>IF(K243&gt;20,10%,5%)</f>
        <v>0.05</v>
      </c>
      <c r="M243">
        <f>K243*L243</f>
        <v>0.3125</v>
      </c>
      <c r="N243">
        <f>LOOKUP(K243,Lookup!$A$2:$A$5,Lookup!$B$2:$B$5)</f>
        <v>0.1</v>
      </c>
      <c r="O243">
        <f>K243*N243</f>
        <v>0.625</v>
      </c>
      <c r="P243">
        <f>K243-M243+O243</f>
        <v>6.5625</v>
      </c>
    </row>
    <row r="244" spans="1:16">
      <c r="A244">
        <v>243</v>
      </c>
      <c r="B244" t="s">
        <v>279</v>
      </c>
      <c r="C244" t="s">
        <v>91</v>
      </c>
      <c r="D244">
        <v>2000</v>
      </c>
      <c r="E244" t="s">
        <v>27</v>
      </c>
      <c r="F244" t="s">
        <v>280</v>
      </c>
      <c r="G244">
        <v>0.14000000000000001</v>
      </c>
      <c r="H244">
        <v>4.0999999999999996</v>
      </c>
      <c r="I244">
        <v>0.02</v>
      </c>
      <c r="J244">
        <v>4.47</v>
      </c>
      <c r="K244">
        <f>SUM(G244:J244)</f>
        <v>8.7299999999999986</v>
      </c>
      <c r="L244">
        <f>IF(K244&gt;20,10%,5%)</f>
        <v>0.05</v>
      </c>
      <c r="M244">
        <f>K244*L244</f>
        <v>0.43649999999999994</v>
      </c>
      <c r="N244">
        <f>LOOKUP(K244,Lookup!$A$2:$A$5,Lookup!$B$2:$B$5)</f>
        <v>0.1</v>
      </c>
      <c r="O244">
        <f>K244*N244</f>
        <v>0.87299999999999989</v>
      </c>
      <c r="P244">
        <f>K244-M244+O244</f>
        <v>9.1664999999999974</v>
      </c>
    </row>
    <row r="245" spans="1:16">
      <c r="A245">
        <v>244</v>
      </c>
      <c r="B245" t="s">
        <v>281</v>
      </c>
      <c r="C245" t="s">
        <v>72</v>
      </c>
      <c r="D245">
        <v>2015</v>
      </c>
      <c r="E245" t="s">
        <v>48</v>
      </c>
      <c r="F245" t="s">
        <v>64</v>
      </c>
      <c r="G245">
        <v>1.69</v>
      </c>
      <c r="H245">
        <v>0.08</v>
      </c>
      <c r="I245">
        <v>0.74</v>
      </c>
      <c r="J245">
        <v>4.47</v>
      </c>
      <c r="K245">
        <f>SUM(G245:J245)</f>
        <v>6.9799999999999995</v>
      </c>
      <c r="L245">
        <f>IF(K245&gt;20,10%,5%)</f>
        <v>0.05</v>
      </c>
      <c r="M245">
        <f>K245*L245</f>
        <v>0.34899999999999998</v>
      </c>
      <c r="N245">
        <f>LOOKUP(K245,Lookup!$A$2:$A$5,Lookup!$B$2:$B$5)</f>
        <v>0.1</v>
      </c>
      <c r="O245">
        <f>K245*N245</f>
        <v>0.69799999999999995</v>
      </c>
      <c r="P245">
        <f>K245-M245+O245</f>
        <v>7.3289999999999988</v>
      </c>
    </row>
    <row r="246" spans="1:16">
      <c r="A246">
        <v>245</v>
      </c>
      <c r="B246" t="s">
        <v>137</v>
      </c>
      <c r="C246" t="s">
        <v>47</v>
      </c>
      <c r="D246">
        <v>2014</v>
      </c>
      <c r="E246" t="s">
        <v>36</v>
      </c>
      <c r="F246" t="s">
        <v>66</v>
      </c>
      <c r="G246">
        <v>1.94</v>
      </c>
      <c r="H246">
        <v>0.19</v>
      </c>
      <c r="I246">
        <v>0.77</v>
      </c>
      <c r="J246">
        <v>4.45</v>
      </c>
      <c r="K246">
        <f>SUM(G246:J246)</f>
        <v>7.35</v>
      </c>
      <c r="L246">
        <f>IF(K246&gt;20,10%,5%)</f>
        <v>0.05</v>
      </c>
      <c r="M246">
        <f>K246*L246</f>
        <v>0.36749999999999999</v>
      </c>
      <c r="N246">
        <f>LOOKUP(K246,Lookup!$A$2:$A$5,Lookup!$B$2:$B$5)</f>
        <v>0.1</v>
      </c>
      <c r="O246">
        <f>K246*N246</f>
        <v>0.73499999999999999</v>
      </c>
      <c r="P246">
        <f>K246-M246+O246</f>
        <v>7.7175000000000002</v>
      </c>
    </row>
    <row r="247" spans="1:16">
      <c r="A247">
        <v>246</v>
      </c>
      <c r="B247" t="s">
        <v>282</v>
      </c>
      <c r="C247" t="s">
        <v>51</v>
      </c>
      <c r="D247">
        <v>2005</v>
      </c>
      <c r="E247" t="s">
        <v>48</v>
      </c>
      <c r="F247" t="s">
        <v>64</v>
      </c>
      <c r="G247">
        <v>1.29</v>
      </c>
      <c r="H247">
        <v>0.02</v>
      </c>
      <c r="I247">
        <v>0.43</v>
      </c>
      <c r="J247">
        <v>4.45</v>
      </c>
      <c r="K247">
        <f>SUM(G247:J247)</f>
        <v>6.19</v>
      </c>
      <c r="L247">
        <f>IF(K247&gt;20,10%,5%)</f>
        <v>0.05</v>
      </c>
      <c r="M247">
        <f>K247*L247</f>
        <v>0.30950000000000005</v>
      </c>
      <c r="N247">
        <f>LOOKUP(K247,Lookup!$A$2:$A$5,Lookup!$B$2:$B$5)</f>
        <v>0.1</v>
      </c>
      <c r="O247">
        <f>K247*N247</f>
        <v>0.61900000000000011</v>
      </c>
      <c r="P247">
        <f>K247-M247+O247</f>
        <v>6.4995000000000003</v>
      </c>
    </row>
    <row r="248" spans="1:16">
      <c r="A248">
        <v>247</v>
      </c>
      <c r="B248" t="s">
        <v>283</v>
      </c>
      <c r="C248" t="s">
        <v>153</v>
      </c>
      <c r="D248">
        <v>2012</v>
      </c>
      <c r="E248" t="s">
        <v>33</v>
      </c>
      <c r="F248" t="s">
        <v>19</v>
      </c>
      <c r="G248">
        <v>1.1100000000000001</v>
      </c>
      <c r="H248">
        <v>0.46</v>
      </c>
      <c r="I248">
        <v>0.33</v>
      </c>
      <c r="J248">
        <v>4.4400000000000004</v>
      </c>
      <c r="K248">
        <f>SUM(G248:J248)</f>
        <v>6.3400000000000007</v>
      </c>
      <c r="L248">
        <f>IF(K248&gt;20,10%,5%)</f>
        <v>0.05</v>
      </c>
      <c r="M248">
        <f>K248*L248</f>
        <v>0.31700000000000006</v>
      </c>
      <c r="N248">
        <f>LOOKUP(K248,Lookup!$A$2:$A$5,Lookup!$B$2:$B$5)</f>
        <v>0.1</v>
      </c>
      <c r="O248">
        <f>K248*N248</f>
        <v>0.63400000000000012</v>
      </c>
      <c r="P248">
        <f>K248-M248+O248</f>
        <v>6.6570000000000009</v>
      </c>
    </row>
    <row r="249" spans="1:16">
      <c r="A249">
        <v>248</v>
      </c>
      <c r="B249" t="s">
        <v>284</v>
      </c>
      <c r="C249" t="s">
        <v>17</v>
      </c>
      <c r="D249">
        <v>2010</v>
      </c>
      <c r="E249" t="s">
        <v>33</v>
      </c>
      <c r="F249" t="s">
        <v>97</v>
      </c>
      <c r="G249">
        <v>1.35</v>
      </c>
      <c r="H249">
        <v>0.01</v>
      </c>
      <c r="I249">
        <v>0.39</v>
      </c>
      <c r="J249">
        <v>4.42</v>
      </c>
      <c r="K249">
        <f>SUM(G249:J249)</f>
        <v>6.17</v>
      </c>
      <c r="L249">
        <f>IF(K249&gt;20,10%,5%)</f>
        <v>0.05</v>
      </c>
      <c r="M249">
        <f>K249*L249</f>
        <v>0.3085</v>
      </c>
      <c r="N249">
        <f>LOOKUP(K249,Lookup!$A$2:$A$5,Lookup!$B$2:$B$5)</f>
        <v>0.1</v>
      </c>
      <c r="O249">
        <f>K249*N249</f>
        <v>0.61699999999999999</v>
      </c>
      <c r="P249">
        <f>K249-M249+O249</f>
        <v>6.4784999999999995</v>
      </c>
    </row>
    <row r="250" spans="1:16">
      <c r="A250">
        <v>249</v>
      </c>
      <c r="B250" t="s">
        <v>285</v>
      </c>
      <c r="C250" t="s">
        <v>51</v>
      </c>
      <c r="D250">
        <v>2001</v>
      </c>
      <c r="E250" t="s">
        <v>18</v>
      </c>
      <c r="F250" t="s">
        <v>66</v>
      </c>
      <c r="G250">
        <v>1.29</v>
      </c>
      <c r="H250">
        <v>0.01</v>
      </c>
      <c r="I250">
        <v>0.46</v>
      </c>
      <c r="J250">
        <v>4.41</v>
      </c>
      <c r="K250">
        <f>SUM(G250:J250)</f>
        <v>6.17</v>
      </c>
      <c r="L250">
        <f>IF(K250&gt;20,10%,5%)</f>
        <v>0.05</v>
      </c>
      <c r="M250">
        <f>K250*L250</f>
        <v>0.3085</v>
      </c>
      <c r="N250">
        <f>LOOKUP(K250,Lookup!$A$2:$A$5,Lookup!$B$2:$B$5)</f>
        <v>0.1</v>
      </c>
      <c r="O250">
        <f>K250*N250</f>
        <v>0.61699999999999999</v>
      </c>
      <c r="P250">
        <f>K250-M250+O250</f>
        <v>6.4784999999999995</v>
      </c>
    </row>
    <row r="251" spans="1:16">
      <c r="A251">
        <v>250</v>
      </c>
      <c r="B251" t="s">
        <v>286</v>
      </c>
      <c r="C251" t="s">
        <v>51</v>
      </c>
      <c r="D251">
        <v>2006</v>
      </c>
      <c r="E251" t="s">
        <v>18</v>
      </c>
      <c r="F251" t="s">
        <v>188</v>
      </c>
      <c r="G251">
        <v>2.39</v>
      </c>
      <c r="H251">
        <v>1.05</v>
      </c>
      <c r="I251">
        <v>0.86</v>
      </c>
      <c r="J251">
        <v>4.3899999999999997</v>
      </c>
      <c r="K251">
        <f>SUM(G251:J251)</f>
        <v>8.6900000000000013</v>
      </c>
      <c r="L251">
        <f>IF(K251&gt;20,10%,5%)</f>
        <v>0.05</v>
      </c>
      <c r="M251">
        <f>K251*L251</f>
        <v>0.43450000000000011</v>
      </c>
      <c r="N251">
        <f>LOOKUP(K251,Lookup!$A$2:$A$5,Lookup!$B$2:$B$5)</f>
        <v>0.1</v>
      </c>
      <c r="O251">
        <f>K251*N251</f>
        <v>0.86900000000000022</v>
      </c>
      <c r="P251">
        <f>K251-M251+O251</f>
        <v>9.1245000000000012</v>
      </c>
    </row>
    <row r="252" spans="1:16">
      <c r="A252">
        <v>251</v>
      </c>
      <c r="B252" t="s">
        <v>287</v>
      </c>
      <c r="C252" t="s">
        <v>44</v>
      </c>
      <c r="D252">
        <v>2006</v>
      </c>
      <c r="E252" t="s">
        <v>27</v>
      </c>
      <c r="F252" t="s">
        <v>49</v>
      </c>
      <c r="G252">
        <v>1.05</v>
      </c>
      <c r="H252">
        <v>0.13</v>
      </c>
      <c r="I252">
        <v>0.4</v>
      </c>
      <c r="J252">
        <v>4.3899999999999997</v>
      </c>
      <c r="K252">
        <f>SUM(G252:J252)</f>
        <v>5.97</v>
      </c>
      <c r="L252">
        <f>IF(K252&gt;20,10%,5%)</f>
        <v>0.05</v>
      </c>
      <c r="M252">
        <f>K252*L252</f>
        <v>0.29849999999999999</v>
      </c>
      <c r="N252">
        <f>LOOKUP(K252,Lookup!$A$2:$A$5,Lookup!$B$2:$B$5)</f>
        <v>0.1</v>
      </c>
      <c r="O252">
        <f>K252*N252</f>
        <v>0.59699999999999998</v>
      </c>
      <c r="P252">
        <f>K252-M252+O252</f>
        <v>6.2684999999999995</v>
      </c>
    </row>
    <row r="253" spans="1:16">
      <c r="A253">
        <v>252</v>
      </c>
      <c r="B253" t="s">
        <v>288</v>
      </c>
      <c r="C253" t="s">
        <v>21</v>
      </c>
      <c r="D253">
        <v>1987</v>
      </c>
      <c r="E253" t="s">
        <v>88</v>
      </c>
      <c r="F253" t="s">
        <v>19</v>
      </c>
      <c r="G253">
        <v>0.5</v>
      </c>
      <c r="H253">
        <v>1.61</v>
      </c>
      <c r="I253">
        <v>0.08</v>
      </c>
      <c r="J253">
        <v>4.38</v>
      </c>
      <c r="K253">
        <f>SUM(G253:J253)</f>
        <v>6.57</v>
      </c>
      <c r="L253">
        <f>IF(K253&gt;20,10%,5%)</f>
        <v>0.05</v>
      </c>
      <c r="M253">
        <f>K253*L253</f>
        <v>0.32850000000000001</v>
      </c>
      <c r="N253">
        <f>LOOKUP(K253,Lookup!$A$2:$A$5,Lookup!$B$2:$B$5)</f>
        <v>0.1</v>
      </c>
      <c r="O253">
        <f>K253*N253</f>
        <v>0.65700000000000003</v>
      </c>
      <c r="P253">
        <f>K253-M253+O253</f>
        <v>6.8985000000000003</v>
      </c>
    </row>
    <row r="254" spans="1:16">
      <c r="A254">
        <v>253</v>
      </c>
      <c r="B254" t="s">
        <v>289</v>
      </c>
      <c r="C254" t="s">
        <v>51</v>
      </c>
      <c r="D254">
        <v>2005</v>
      </c>
      <c r="E254" t="s">
        <v>23</v>
      </c>
      <c r="F254" t="s">
        <v>115</v>
      </c>
      <c r="G254">
        <v>1.79</v>
      </c>
      <c r="H254">
        <v>0.08</v>
      </c>
      <c r="I254">
        <v>0.47</v>
      </c>
      <c r="J254">
        <v>4.37</v>
      </c>
      <c r="K254">
        <f>SUM(G254:J254)</f>
        <v>6.71</v>
      </c>
      <c r="L254">
        <f>IF(K254&gt;20,10%,5%)</f>
        <v>0.05</v>
      </c>
      <c r="M254">
        <f>K254*L254</f>
        <v>0.33550000000000002</v>
      </c>
      <c r="N254">
        <f>LOOKUP(K254,Lookup!$A$2:$A$5,Lookup!$B$2:$B$5)</f>
        <v>0.1</v>
      </c>
      <c r="O254">
        <f>K254*N254</f>
        <v>0.67100000000000004</v>
      </c>
      <c r="P254">
        <f>K254-M254+O254</f>
        <v>7.0455000000000005</v>
      </c>
    </row>
    <row r="255" spans="1:16">
      <c r="A255">
        <v>254</v>
      </c>
      <c r="B255" t="s">
        <v>290</v>
      </c>
      <c r="C255" t="s">
        <v>47</v>
      </c>
      <c r="D255">
        <v>2006</v>
      </c>
      <c r="E255" t="s">
        <v>36</v>
      </c>
      <c r="F255" t="s">
        <v>64</v>
      </c>
      <c r="G255">
        <v>1.73</v>
      </c>
      <c r="H255">
        <v>0.14000000000000001</v>
      </c>
      <c r="I255">
        <v>0.75</v>
      </c>
      <c r="J255">
        <v>4.3499999999999996</v>
      </c>
      <c r="K255">
        <f>SUM(G255:J255)</f>
        <v>6.97</v>
      </c>
      <c r="L255">
        <f>IF(K255&gt;20,10%,5%)</f>
        <v>0.05</v>
      </c>
      <c r="M255">
        <f>K255*L255</f>
        <v>0.34850000000000003</v>
      </c>
      <c r="N255">
        <f>LOOKUP(K255,Lookup!$A$2:$A$5,Lookup!$B$2:$B$5)</f>
        <v>0.1</v>
      </c>
      <c r="O255">
        <f>K255*N255</f>
        <v>0.69700000000000006</v>
      </c>
      <c r="P255">
        <f>K255-M255+O255</f>
        <v>7.3184999999999993</v>
      </c>
    </row>
    <row r="256" spans="1:16">
      <c r="A256">
        <v>255</v>
      </c>
      <c r="B256" t="s">
        <v>291</v>
      </c>
      <c r="C256" t="s">
        <v>190</v>
      </c>
      <c r="D256">
        <v>1991</v>
      </c>
      <c r="E256" t="s">
        <v>2</v>
      </c>
      <c r="F256" t="s">
        <v>126</v>
      </c>
      <c r="G256">
        <v>0.91</v>
      </c>
      <c r="H256">
        <v>0.26</v>
      </c>
      <c r="I256">
        <v>0.13</v>
      </c>
      <c r="J256">
        <v>4.34</v>
      </c>
      <c r="K256">
        <f>SUM(G256:J256)</f>
        <v>5.64</v>
      </c>
      <c r="L256">
        <f>IF(K256&gt;20,10%,5%)</f>
        <v>0.05</v>
      </c>
      <c r="M256">
        <f>K256*L256</f>
        <v>0.28199999999999997</v>
      </c>
      <c r="N256">
        <f>LOOKUP(K256,Lookup!$A$2:$A$5,Lookup!$B$2:$B$5)</f>
        <v>0.1</v>
      </c>
      <c r="O256">
        <f>K256*N256</f>
        <v>0.56399999999999995</v>
      </c>
      <c r="P256">
        <f>K256-M256+O256</f>
        <v>5.9219999999999997</v>
      </c>
    </row>
    <row r="257" spans="1:16">
      <c r="A257">
        <v>256</v>
      </c>
      <c r="B257" t="s">
        <v>292</v>
      </c>
      <c r="C257" t="s">
        <v>51</v>
      </c>
      <c r="D257">
        <v>2005</v>
      </c>
      <c r="E257" t="s">
        <v>27</v>
      </c>
      <c r="F257" t="s">
        <v>196</v>
      </c>
      <c r="G257">
        <v>0.57999999999999996</v>
      </c>
      <c r="H257">
        <v>1.38</v>
      </c>
      <c r="I257">
        <v>0.17</v>
      </c>
      <c r="J257">
        <v>4.33</v>
      </c>
      <c r="K257">
        <f>SUM(G257:J257)</f>
        <v>6.46</v>
      </c>
      <c r="L257">
        <f>IF(K257&gt;20,10%,5%)</f>
        <v>0.05</v>
      </c>
      <c r="M257">
        <f>K257*L257</f>
        <v>0.32300000000000001</v>
      </c>
      <c r="N257">
        <f>LOOKUP(K257,Lookup!$A$2:$A$5,Lookup!$B$2:$B$5)</f>
        <v>0.1</v>
      </c>
      <c r="O257">
        <f>K257*N257</f>
        <v>0.64600000000000002</v>
      </c>
      <c r="P257">
        <f>K257-M257+O257</f>
        <v>6.7829999999999995</v>
      </c>
    </row>
    <row r="258" spans="1:16">
      <c r="A258">
        <v>257</v>
      </c>
      <c r="B258" t="s">
        <v>157</v>
      </c>
      <c r="C258" t="s">
        <v>44</v>
      </c>
      <c r="D258">
        <v>2013</v>
      </c>
      <c r="E258" t="s">
        <v>18</v>
      </c>
      <c r="F258" t="s">
        <v>115</v>
      </c>
      <c r="G258">
        <v>2.93</v>
      </c>
      <c r="H258">
        <v>0.01</v>
      </c>
      <c r="I258">
        <v>0.46</v>
      </c>
      <c r="J258">
        <v>4.3099999999999996</v>
      </c>
      <c r="K258">
        <f>SUM(G258:J258)</f>
        <v>7.7099999999999991</v>
      </c>
      <c r="L258">
        <f>IF(K258&gt;20,10%,5%)</f>
        <v>0.05</v>
      </c>
      <c r="M258">
        <f>K258*L258</f>
        <v>0.38549999999999995</v>
      </c>
      <c r="N258">
        <f>LOOKUP(K258,Lookup!$A$2:$A$5,Lookup!$B$2:$B$5)</f>
        <v>0.1</v>
      </c>
      <c r="O258">
        <f>K258*N258</f>
        <v>0.77099999999999991</v>
      </c>
      <c r="P258">
        <f>K258-M258+O258</f>
        <v>8.0954999999999977</v>
      </c>
    </row>
    <row r="259" spans="1:16">
      <c r="A259">
        <v>258</v>
      </c>
      <c r="B259" t="s">
        <v>137</v>
      </c>
      <c r="C259" t="s">
        <v>44</v>
      </c>
      <c r="D259">
        <v>2014</v>
      </c>
      <c r="E259" t="s">
        <v>36</v>
      </c>
      <c r="F259" t="s">
        <v>66</v>
      </c>
      <c r="G259">
        <v>1.18</v>
      </c>
      <c r="H259">
        <v>0</v>
      </c>
      <c r="I259">
        <v>0.37</v>
      </c>
      <c r="J259">
        <v>4.3099999999999996</v>
      </c>
      <c r="K259">
        <f>SUM(G259:J259)</f>
        <v>5.8599999999999994</v>
      </c>
      <c r="L259">
        <f>IF(K259&gt;20,10%,5%)</f>
        <v>0.05</v>
      </c>
      <c r="M259">
        <f>K259*L259</f>
        <v>0.29299999999999998</v>
      </c>
      <c r="N259">
        <f>LOOKUP(K259,Lookup!$A$2:$A$5,Lookup!$B$2:$B$5)</f>
        <v>0.1</v>
      </c>
      <c r="O259">
        <f>K259*N259</f>
        <v>0.58599999999999997</v>
      </c>
      <c r="P259">
        <f>K259-M259+O259</f>
        <v>6.1529999999999996</v>
      </c>
    </row>
    <row r="260" spans="1:16">
      <c r="A260">
        <v>259</v>
      </c>
      <c r="B260" t="s">
        <v>293</v>
      </c>
      <c r="C260">
        <v>2600</v>
      </c>
      <c r="D260">
        <v>1980</v>
      </c>
      <c r="E260" t="s">
        <v>36</v>
      </c>
      <c r="F260" t="s">
        <v>132</v>
      </c>
      <c r="G260">
        <v>0.26</v>
      </c>
      <c r="H260">
        <v>0</v>
      </c>
      <c r="I260">
        <v>0.05</v>
      </c>
      <c r="J260">
        <v>4.3099999999999996</v>
      </c>
      <c r="K260">
        <f>SUM(G260:J260)</f>
        <v>4.6199999999999992</v>
      </c>
      <c r="L260">
        <f>IF(K260&gt;20,10%,5%)</f>
        <v>0.05</v>
      </c>
      <c r="M260">
        <f>K260*L260</f>
        <v>0.23099999999999998</v>
      </c>
      <c r="N260">
        <f>LOOKUP(K260,Lookup!$A$2:$A$5,Lookup!$B$2:$B$5)</f>
        <v>0.1</v>
      </c>
      <c r="O260">
        <f>K260*N260</f>
        <v>0.46199999999999997</v>
      </c>
      <c r="P260">
        <f>K260-M260+O260</f>
        <v>4.8509999999999991</v>
      </c>
    </row>
    <row r="261" spans="1:16">
      <c r="A261">
        <v>260</v>
      </c>
      <c r="B261" t="s">
        <v>294</v>
      </c>
      <c r="C261" t="s">
        <v>44</v>
      </c>
      <c r="D261">
        <v>2008</v>
      </c>
      <c r="E261" t="s">
        <v>27</v>
      </c>
      <c r="F261" t="s">
        <v>45</v>
      </c>
      <c r="G261">
        <v>1.27</v>
      </c>
      <c r="H261">
        <v>0.11</v>
      </c>
      <c r="I261">
        <v>0.41</v>
      </c>
      <c r="J261">
        <v>4.3099999999999996</v>
      </c>
      <c r="K261">
        <f>SUM(G261:J261)</f>
        <v>6.1</v>
      </c>
      <c r="L261">
        <f>IF(K261&gt;20,10%,5%)</f>
        <v>0.05</v>
      </c>
      <c r="M261">
        <f>K261*L261</f>
        <v>0.30499999999999999</v>
      </c>
      <c r="N261">
        <f>LOOKUP(K261,Lookup!$A$2:$A$5,Lookup!$B$2:$B$5)</f>
        <v>0.1</v>
      </c>
      <c r="O261">
        <f>K261*N261</f>
        <v>0.61</v>
      </c>
      <c r="P261">
        <f>K261-M261+O261</f>
        <v>6.4050000000000002</v>
      </c>
    </row>
    <row r="262" spans="1:16">
      <c r="A262">
        <v>261</v>
      </c>
      <c r="B262" t="s">
        <v>295</v>
      </c>
      <c r="C262" t="s">
        <v>145</v>
      </c>
      <c r="D262">
        <v>2015</v>
      </c>
      <c r="E262" t="s">
        <v>36</v>
      </c>
      <c r="F262" t="s">
        <v>45</v>
      </c>
      <c r="G262">
        <v>1.2</v>
      </c>
      <c r="H262">
        <v>0.03</v>
      </c>
      <c r="I262">
        <v>0.39</v>
      </c>
      <c r="J262">
        <v>4.26</v>
      </c>
      <c r="K262">
        <f>SUM(G262:J262)</f>
        <v>5.88</v>
      </c>
      <c r="L262">
        <f>IF(K262&gt;20,10%,5%)</f>
        <v>0.05</v>
      </c>
      <c r="M262">
        <f>K262*L262</f>
        <v>0.29399999999999998</v>
      </c>
      <c r="N262">
        <f>LOOKUP(K262,Lookup!$A$2:$A$5,Lookup!$B$2:$B$5)</f>
        <v>0.1</v>
      </c>
      <c r="O262">
        <f>K262*N262</f>
        <v>0.58799999999999997</v>
      </c>
      <c r="P262">
        <f>K262-M262+O262</f>
        <v>6.1740000000000004</v>
      </c>
    </row>
    <row r="263" spans="1:16">
      <c r="A263">
        <v>262</v>
      </c>
      <c r="B263" t="s">
        <v>296</v>
      </c>
      <c r="C263" t="s">
        <v>153</v>
      </c>
      <c r="D263">
        <v>2013</v>
      </c>
      <c r="E263" t="s">
        <v>2</v>
      </c>
      <c r="F263" t="s">
        <v>19</v>
      </c>
      <c r="G263">
        <v>1.1100000000000001</v>
      </c>
      <c r="H263">
        <v>0.72</v>
      </c>
      <c r="I263">
        <v>0.3</v>
      </c>
      <c r="J263">
        <v>4.25</v>
      </c>
      <c r="K263">
        <f>SUM(G263:J263)</f>
        <v>6.38</v>
      </c>
      <c r="L263">
        <f>IF(K263&gt;20,10%,5%)</f>
        <v>0.05</v>
      </c>
      <c r="M263">
        <f>K263*L263</f>
        <v>0.31900000000000001</v>
      </c>
      <c r="N263">
        <f>LOOKUP(K263,Lookup!$A$2:$A$5,Lookup!$B$2:$B$5)</f>
        <v>0.1</v>
      </c>
      <c r="O263">
        <f>K263*N263</f>
        <v>0.63800000000000001</v>
      </c>
      <c r="P263">
        <f>K263-M263+O263</f>
        <v>6.6989999999999998</v>
      </c>
    </row>
    <row r="264" spans="1:16">
      <c r="A264">
        <v>263</v>
      </c>
      <c r="B264" t="s">
        <v>297</v>
      </c>
      <c r="C264" t="s">
        <v>47</v>
      </c>
      <c r="D264">
        <v>2009</v>
      </c>
      <c r="E264" t="s">
        <v>48</v>
      </c>
      <c r="F264" t="s">
        <v>227</v>
      </c>
      <c r="G264">
        <v>1.34</v>
      </c>
      <c r="H264">
        <v>7.0000000000000007E-2</v>
      </c>
      <c r="I264">
        <v>0.61</v>
      </c>
      <c r="J264">
        <v>4.25</v>
      </c>
      <c r="K264">
        <f>SUM(G264:J264)</f>
        <v>6.27</v>
      </c>
      <c r="L264">
        <f>IF(K264&gt;20,10%,5%)</f>
        <v>0.05</v>
      </c>
      <c r="M264">
        <f>K264*L264</f>
        <v>0.3135</v>
      </c>
      <c r="N264">
        <f>LOOKUP(K264,Lookup!$A$2:$A$5,Lookup!$B$2:$B$5)</f>
        <v>0.1</v>
      </c>
      <c r="O264">
        <f>K264*N264</f>
        <v>0.627</v>
      </c>
      <c r="P264">
        <f>K264-M264+O264</f>
        <v>6.583499999999999</v>
      </c>
    </row>
    <row r="265" spans="1:16">
      <c r="A265">
        <v>264</v>
      </c>
      <c r="B265" t="s">
        <v>298</v>
      </c>
      <c r="C265" t="s">
        <v>47</v>
      </c>
      <c r="D265">
        <v>2011</v>
      </c>
      <c r="E265" t="s">
        <v>48</v>
      </c>
      <c r="F265" t="s">
        <v>97</v>
      </c>
      <c r="G265">
        <v>2.02</v>
      </c>
      <c r="H265">
        <v>0.1</v>
      </c>
      <c r="I265">
        <v>0.72</v>
      </c>
      <c r="J265">
        <v>4.24</v>
      </c>
      <c r="K265">
        <f>SUM(G265:J265)</f>
        <v>7.08</v>
      </c>
      <c r="L265">
        <f>IF(K265&gt;20,10%,5%)</f>
        <v>0.05</v>
      </c>
      <c r="M265">
        <f>K265*L265</f>
        <v>0.35400000000000004</v>
      </c>
      <c r="N265">
        <f>LOOKUP(K265,Lookup!$A$2:$A$5,Lookup!$B$2:$B$5)</f>
        <v>0.1</v>
      </c>
      <c r="O265">
        <f>K265*N265</f>
        <v>0.70800000000000007</v>
      </c>
      <c r="P265">
        <f>K265-M265+O265</f>
        <v>7.4340000000000002</v>
      </c>
    </row>
    <row r="266" spans="1:16">
      <c r="A266">
        <v>265</v>
      </c>
      <c r="B266" t="s">
        <v>299</v>
      </c>
      <c r="C266" t="s">
        <v>60</v>
      </c>
      <c r="D266">
        <v>2001</v>
      </c>
      <c r="E266" t="s">
        <v>33</v>
      </c>
      <c r="F266" t="s">
        <v>300</v>
      </c>
      <c r="G266">
        <v>1.1100000000000001</v>
      </c>
      <c r="H266">
        <v>0.05</v>
      </c>
      <c r="I266">
        <v>7.0000000000000007E-2</v>
      </c>
      <c r="J266">
        <v>4.24</v>
      </c>
      <c r="K266">
        <f>SUM(G266:J266)</f>
        <v>5.4700000000000006</v>
      </c>
      <c r="L266">
        <f>IF(K266&gt;20,10%,5%)</f>
        <v>0.05</v>
      </c>
      <c r="M266">
        <f>K266*L266</f>
        <v>0.27350000000000002</v>
      </c>
      <c r="N266">
        <f>LOOKUP(K266,Lookup!$A$2:$A$5,Lookup!$B$2:$B$5)</f>
        <v>0.1</v>
      </c>
      <c r="O266">
        <f>K266*N266</f>
        <v>0.54700000000000004</v>
      </c>
      <c r="P266">
        <f>K266-M266+O266</f>
        <v>5.7435</v>
      </c>
    </row>
    <row r="267" spans="1:16">
      <c r="A267">
        <v>266</v>
      </c>
      <c r="B267" t="s">
        <v>301</v>
      </c>
      <c r="C267" t="s">
        <v>51</v>
      </c>
      <c r="D267">
        <v>2004</v>
      </c>
      <c r="E267" t="s">
        <v>48</v>
      </c>
      <c r="F267" t="s">
        <v>188</v>
      </c>
      <c r="G267">
        <v>0</v>
      </c>
      <c r="H267">
        <v>0.83</v>
      </c>
      <c r="I267">
        <v>1.93</v>
      </c>
      <c r="J267">
        <v>4.2300000000000004</v>
      </c>
      <c r="K267">
        <f>SUM(G267:J267)</f>
        <v>6.99</v>
      </c>
      <c r="L267">
        <f>IF(K267&gt;20,10%,5%)</f>
        <v>0.05</v>
      </c>
      <c r="M267">
        <f>K267*L267</f>
        <v>0.34950000000000003</v>
      </c>
      <c r="N267">
        <f>LOOKUP(K267,Lookup!$A$2:$A$5,Lookup!$B$2:$B$5)</f>
        <v>0.1</v>
      </c>
      <c r="O267">
        <f>K267*N267</f>
        <v>0.69900000000000007</v>
      </c>
      <c r="P267">
        <f>K267-M267+O267</f>
        <v>7.3395000000000001</v>
      </c>
    </row>
    <row r="268" spans="1:16">
      <c r="A268">
        <v>267</v>
      </c>
      <c r="B268" t="s">
        <v>302</v>
      </c>
      <c r="C268" t="s">
        <v>134</v>
      </c>
      <c r="D268">
        <v>2006</v>
      </c>
      <c r="E268" t="s">
        <v>2</v>
      </c>
      <c r="F268" t="s">
        <v>64</v>
      </c>
      <c r="G268">
        <v>1.02</v>
      </c>
      <c r="H268">
        <v>0</v>
      </c>
      <c r="I268">
        <v>0.75</v>
      </c>
      <c r="J268">
        <v>4.22</v>
      </c>
      <c r="K268">
        <f>SUM(G268:J268)</f>
        <v>5.99</v>
      </c>
      <c r="L268">
        <f>IF(K268&gt;20,10%,5%)</f>
        <v>0.05</v>
      </c>
      <c r="M268">
        <f>K268*L268</f>
        <v>0.29950000000000004</v>
      </c>
      <c r="N268">
        <f>LOOKUP(K268,Lookup!$A$2:$A$5,Lookup!$B$2:$B$5)</f>
        <v>0.1</v>
      </c>
      <c r="O268">
        <f>K268*N268</f>
        <v>0.59900000000000009</v>
      </c>
      <c r="P268">
        <f>K268-M268+O268</f>
        <v>6.2895000000000003</v>
      </c>
    </row>
    <row r="269" spans="1:16">
      <c r="A269">
        <v>268</v>
      </c>
      <c r="B269" t="s">
        <v>303</v>
      </c>
      <c r="C269" t="s">
        <v>123</v>
      </c>
      <c r="D269">
        <v>1995</v>
      </c>
      <c r="E269" t="s">
        <v>216</v>
      </c>
      <c r="F269" t="s">
        <v>66</v>
      </c>
      <c r="G269">
        <v>2.27</v>
      </c>
      <c r="H269">
        <v>0</v>
      </c>
      <c r="I269">
        <v>0.23</v>
      </c>
      <c r="J269">
        <v>4.21</v>
      </c>
      <c r="K269">
        <f>SUM(G269:J269)</f>
        <v>6.71</v>
      </c>
      <c r="L269">
        <f>IF(K269&gt;20,10%,5%)</f>
        <v>0.05</v>
      </c>
      <c r="M269">
        <f>K269*L269</f>
        <v>0.33550000000000002</v>
      </c>
      <c r="N269">
        <f>LOOKUP(K269,Lookup!$A$2:$A$5,Lookup!$B$2:$B$5)</f>
        <v>0.1</v>
      </c>
      <c r="O269">
        <f>K269*N269</f>
        <v>0.67100000000000004</v>
      </c>
      <c r="P269">
        <f>K269-M269+O269</f>
        <v>7.0455000000000005</v>
      </c>
    </row>
    <row r="270" spans="1:16">
      <c r="A270">
        <v>269</v>
      </c>
      <c r="B270" t="s">
        <v>138</v>
      </c>
      <c r="C270" t="s">
        <v>70</v>
      </c>
      <c r="D270">
        <v>2011</v>
      </c>
      <c r="E270" t="s">
        <v>48</v>
      </c>
      <c r="F270" t="s">
        <v>19</v>
      </c>
      <c r="G270">
        <v>1.27</v>
      </c>
      <c r="H270">
        <v>0.62</v>
      </c>
      <c r="I270">
        <v>0.3</v>
      </c>
      <c r="J270">
        <v>4.21</v>
      </c>
      <c r="K270">
        <f>SUM(G270:J270)</f>
        <v>6.4</v>
      </c>
      <c r="L270">
        <f>IF(K270&gt;20,10%,5%)</f>
        <v>0.05</v>
      </c>
      <c r="M270">
        <f>K270*L270</f>
        <v>0.32000000000000006</v>
      </c>
      <c r="N270">
        <f>LOOKUP(K270,Lookup!$A$2:$A$5,Lookup!$B$2:$B$5)</f>
        <v>0.1</v>
      </c>
      <c r="O270">
        <f>K270*N270</f>
        <v>0.64000000000000012</v>
      </c>
      <c r="P270">
        <f>K270-M270+O270</f>
        <v>6.7200000000000006</v>
      </c>
    </row>
    <row r="271" spans="1:16">
      <c r="A271">
        <v>270</v>
      </c>
      <c r="B271" t="s">
        <v>304</v>
      </c>
      <c r="C271" t="s">
        <v>51</v>
      </c>
      <c r="D271">
        <v>2005</v>
      </c>
      <c r="E271" t="s">
        <v>18</v>
      </c>
      <c r="F271" t="s">
        <v>115</v>
      </c>
      <c r="G271">
        <v>2.5499999999999998</v>
      </c>
      <c r="H271">
        <v>0.04</v>
      </c>
      <c r="I271">
        <v>0.84</v>
      </c>
      <c r="J271">
        <v>4.21</v>
      </c>
      <c r="K271">
        <f>SUM(G271:J271)</f>
        <v>7.64</v>
      </c>
      <c r="L271">
        <f>IF(K271&gt;20,10%,5%)</f>
        <v>0.05</v>
      </c>
      <c r="M271">
        <f>K271*L271</f>
        <v>0.38200000000000001</v>
      </c>
      <c r="N271">
        <f>LOOKUP(K271,Lookup!$A$2:$A$5,Lookup!$B$2:$B$5)</f>
        <v>0.1</v>
      </c>
      <c r="O271">
        <f>K271*N271</f>
        <v>0.76400000000000001</v>
      </c>
      <c r="P271">
        <f>K271-M271+O271</f>
        <v>8.0220000000000002</v>
      </c>
    </row>
    <row r="272" spans="1:16">
      <c r="A272">
        <v>271</v>
      </c>
      <c r="B272" t="s">
        <v>305</v>
      </c>
      <c r="C272" t="s">
        <v>51</v>
      </c>
      <c r="D272">
        <v>2003</v>
      </c>
      <c r="E272" t="s">
        <v>33</v>
      </c>
      <c r="F272" t="s">
        <v>64</v>
      </c>
      <c r="G272">
        <v>2.2999999999999998</v>
      </c>
      <c r="H272">
        <v>0.2</v>
      </c>
      <c r="I272">
        <v>0.83</v>
      </c>
      <c r="J272">
        <v>4.2</v>
      </c>
      <c r="K272">
        <f>SUM(G272:J272)</f>
        <v>7.53</v>
      </c>
      <c r="L272">
        <f>IF(K272&gt;20,10%,5%)</f>
        <v>0.05</v>
      </c>
      <c r="M272">
        <f>K272*L272</f>
        <v>0.37650000000000006</v>
      </c>
      <c r="N272">
        <f>LOOKUP(K272,Lookup!$A$2:$A$5,Lookup!$B$2:$B$5)</f>
        <v>0.1</v>
      </c>
      <c r="O272">
        <f>K272*N272</f>
        <v>0.75300000000000011</v>
      </c>
      <c r="P272">
        <f>K272-M272+O272</f>
        <v>7.9065000000000003</v>
      </c>
    </row>
    <row r="273" spans="1:16">
      <c r="A273">
        <v>272</v>
      </c>
      <c r="B273" t="s">
        <v>306</v>
      </c>
      <c r="C273" t="s">
        <v>72</v>
      </c>
      <c r="D273">
        <v>2016</v>
      </c>
      <c r="E273" t="s">
        <v>36</v>
      </c>
      <c r="F273" t="s">
        <v>64</v>
      </c>
      <c r="G273">
        <v>2.0699999999999998</v>
      </c>
      <c r="H273">
        <v>0.18</v>
      </c>
      <c r="I273">
        <v>0.65</v>
      </c>
      <c r="J273">
        <v>4.2</v>
      </c>
      <c r="K273">
        <f>SUM(G273:J273)</f>
        <v>7.1</v>
      </c>
      <c r="L273">
        <f>IF(K273&gt;20,10%,5%)</f>
        <v>0.05</v>
      </c>
      <c r="M273">
        <f>K273*L273</f>
        <v>0.35499999999999998</v>
      </c>
      <c r="N273">
        <f>LOOKUP(K273,Lookup!$A$2:$A$5,Lookup!$B$2:$B$5)</f>
        <v>0.1</v>
      </c>
      <c r="O273">
        <f>K273*N273</f>
        <v>0.71</v>
      </c>
      <c r="P273">
        <f>K273-M273+O273</f>
        <v>7.4549999999999992</v>
      </c>
    </row>
    <row r="274" spans="1:16">
      <c r="A274">
        <v>273</v>
      </c>
      <c r="B274" t="s">
        <v>307</v>
      </c>
      <c r="C274" t="s">
        <v>47</v>
      </c>
      <c r="D274">
        <v>2007</v>
      </c>
      <c r="E274" t="s">
        <v>23</v>
      </c>
      <c r="F274" t="s">
        <v>64</v>
      </c>
      <c r="G274">
        <v>1.83</v>
      </c>
      <c r="H274">
        <v>0.56999999999999995</v>
      </c>
      <c r="I274">
        <v>0.53</v>
      </c>
      <c r="J274">
        <v>4.2</v>
      </c>
      <c r="K274">
        <f>SUM(G274:J274)</f>
        <v>7.13</v>
      </c>
      <c r="L274">
        <f>IF(K274&gt;20,10%,5%)</f>
        <v>0.05</v>
      </c>
      <c r="M274">
        <f>K274*L274</f>
        <v>0.35650000000000004</v>
      </c>
      <c r="N274">
        <f>LOOKUP(K274,Lookup!$A$2:$A$5,Lookup!$B$2:$B$5)</f>
        <v>0.1</v>
      </c>
      <c r="O274">
        <f>K274*N274</f>
        <v>0.71300000000000008</v>
      </c>
      <c r="P274">
        <f>K274-M274+O274</f>
        <v>7.4865000000000004</v>
      </c>
    </row>
    <row r="275" spans="1:16">
      <c r="A275">
        <v>274</v>
      </c>
      <c r="B275" t="s">
        <v>298</v>
      </c>
      <c r="C275" t="s">
        <v>44</v>
      </c>
      <c r="D275">
        <v>2011</v>
      </c>
      <c r="E275" t="s">
        <v>48</v>
      </c>
      <c r="F275" t="s">
        <v>97</v>
      </c>
      <c r="G275">
        <v>1.47</v>
      </c>
      <c r="H275">
        <v>0.04</v>
      </c>
      <c r="I275">
        <v>0.43</v>
      </c>
      <c r="J275">
        <v>4.1900000000000004</v>
      </c>
      <c r="K275">
        <f>SUM(G275:J275)</f>
        <v>6.1300000000000008</v>
      </c>
      <c r="L275">
        <f>IF(K275&gt;20,10%,5%)</f>
        <v>0.05</v>
      </c>
      <c r="M275">
        <f>K275*L275</f>
        <v>0.30650000000000005</v>
      </c>
      <c r="N275">
        <f>LOOKUP(K275,Lookup!$A$2:$A$5,Lookup!$B$2:$B$5)</f>
        <v>0.1</v>
      </c>
      <c r="O275">
        <f>K275*N275</f>
        <v>0.6130000000000001</v>
      </c>
      <c r="P275">
        <f>K275-M275+O275</f>
        <v>6.4365000000000014</v>
      </c>
    </row>
    <row r="276" spans="1:16">
      <c r="A276">
        <v>275</v>
      </c>
      <c r="B276" t="s">
        <v>308</v>
      </c>
      <c r="C276" t="s">
        <v>47</v>
      </c>
      <c r="D276">
        <v>2009</v>
      </c>
      <c r="E276" t="s">
        <v>77</v>
      </c>
      <c r="F276" t="s">
        <v>180</v>
      </c>
      <c r="G276">
        <v>1.06</v>
      </c>
      <c r="H276">
        <v>0.57999999999999996</v>
      </c>
      <c r="I276">
        <v>0.53</v>
      </c>
      <c r="J276">
        <v>4.1900000000000004</v>
      </c>
      <c r="K276">
        <f>SUM(G276:J276)</f>
        <v>6.36</v>
      </c>
      <c r="L276">
        <f>IF(K276&gt;20,10%,5%)</f>
        <v>0.05</v>
      </c>
      <c r="M276">
        <f>K276*L276</f>
        <v>0.31800000000000006</v>
      </c>
      <c r="N276">
        <f>LOOKUP(K276,Lookup!$A$2:$A$5,Lookup!$B$2:$B$5)</f>
        <v>0.1</v>
      </c>
      <c r="O276">
        <f>K276*N276</f>
        <v>0.63600000000000012</v>
      </c>
      <c r="P276">
        <f>K276-M276+O276</f>
        <v>6.6779999999999999</v>
      </c>
    </row>
    <row r="277" spans="1:16">
      <c r="A277">
        <v>276</v>
      </c>
      <c r="B277" t="s">
        <v>166</v>
      </c>
      <c r="C277" t="s">
        <v>44</v>
      </c>
      <c r="D277">
        <v>2011</v>
      </c>
      <c r="E277" t="s">
        <v>18</v>
      </c>
      <c r="F277" t="s">
        <v>115</v>
      </c>
      <c r="G277">
        <v>2.79</v>
      </c>
      <c r="H277">
        <v>0.02</v>
      </c>
      <c r="I277">
        <v>0.53</v>
      </c>
      <c r="J277">
        <v>4.1900000000000004</v>
      </c>
      <c r="K277">
        <f>SUM(G277:J277)</f>
        <v>7.53</v>
      </c>
      <c r="L277">
        <f>IF(K277&gt;20,10%,5%)</f>
        <v>0.05</v>
      </c>
      <c r="M277">
        <f>K277*L277</f>
        <v>0.37650000000000006</v>
      </c>
      <c r="N277">
        <f>LOOKUP(K277,Lookup!$A$2:$A$5,Lookup!$B$2:$B$5)</f>
        <v>0.1</v>
      </c>
      <c r="O277">
        <f>K277*N277</f>
        <v>0.75300000000000011</v>
      </c>
      <c r="P277">
        <f>K277-M277+O277</f>
        <v>7.9065000000000003</v>
      </c>
    </row>
    <row r="278" spans="1:16">
      <c r="A278">
        <v>277</v>
      </c>
      <c r="B278" t="s">
        <v>309</v>
      </c>
      <c r="C278" t="s">
        <v>21</v>
      </c>
      <c r="D278">
        <v>1989</v>
      </c>
      <c r="E278" t="s">
        <v>48</v>
      </c>
      <c r="F278" t="s">
        <v>310</v>
      </c>
      <c r="G278">
        <v>0.44</v>
      </c>
      <c r="H278">
        <v>0.31</v>
      </c>
      <c r="I278">
        <v>0.04</v>
      </c>
      <c r="J278">
        <v>4.17</v>
      </c>
      <c r="K278">
        <f>SUM(G278:J278)</f>
        <v>4.96</v>
      </c>
      <c r="L278">
        <f>IF(K278&gt;20,10%,5%)</f>
        <v>0.05</v>
      </c>
      <c r="M278">
        <f>K278*L278</f>
        <v>0.248</v>
      </c>
      <c r="N278">
        <f>LOOKUP(K278,Lookup!$A$2:$A$5,Lookup!$B$2:$B$5)</f>
        <v>0.1</v>
      </c>
      <c r="O278">
        <f>K278*N278</f>
        <v>0.496</v>
      </c>
      <c r="P278">
        <f>K278-M278+O278</f>
        <v>5.2080000000000002</v>
      </c>
    </row>
    <row r="279" spans="1:16">
      <c r="A279">
        <v>278</v>
      </c>
      <c r="B279" t="s">
        <v>311</v>
      </c>
      <c r="C279" t="s">
        <v>21</v>
      </c>
      <c r="D279">
        <v>1984</v>
      </c>
      <c r="E279" t="s">
        <v>23</v>
      </c>
      <c r="F279" t="s">
        <v>19</v>
      </c>
      <c r="G279">
        <v>0.48</v>
      </c>
      <c r="H279">
        <v>1.57</v>
      </c>
      <c r="I279">
        <v>7.0000000000000007E-2</v>
      </c>
      <c r="J279">
        <v>4.16</v>
      </c>
      <c r="K279">
        <f>SUM(G279:J279)</f>
        <v>6.2799999999999994</v>
      </c>
      <c r="L279">
        <f>IF(K279&gt;20,10%,5%)</f>
        <v>0.05</v>
      </c>
      <c r="M279">
        <f>K279*L279</f>
        <v>0.314</v>
      </c>
      <c r="N279">
        <f>LOOKUP(K279,Lookup!$A$2:$A$5,Lookup!$B$2:$B$5)</f>
        <v>0.1</v>
      </c>
      <c r="O279">
        <f>K279*N279</f>
        <v>0.628</v>
      </c>
      <c r="P279">
        <f>K279-M279+O279</f>
        <v>6.5939999999999994</v>
      </c>
    </row>
    <row r="280" spans="1:16">
      <c r="A280">
        <v>279</v>
      </c>
      <c r="B280" t="s">
        <v>312</v>
      </c>
      <c r="C280" t="s">
        <v>91</v>
      </c>
      <c r="D280">
        <v>1997</v>
      </c>
      <c r="E280" t="s">
        <v>48</v>
      </c>
      <c r="F280" t="s">
        <v>313</v>
      </c>
      <c r="G280">
        <v>0.27</v>
      </c>
      <c r="H280">
        <v>0</v>
      </c>
      <c r="I280">
        <v>0.11</v>
      </c>
      <c r="J280">
        <v>4.16</v>
      </c>
      <c r="K280">
        <f>SUM(G280:J280)</f>
        <v>4.54</v>
      </c>
      <c r="L280">
        <f>IF(K280&gt;20,10%,5%)</f>
        <v>0.05</v>
      </c>
      <c r="M280">
        <f>K280*L280</f>
        <v>0.22700000000000001</v>
      </c>
      <c r="N280">
        <f>LOOKUP(K280,Lookup!$A$2:$A$5,Lookup!$B$2:$B$5)</f>
        <v>0.1</v>
      </c>
      <c r="O280">
        <f>K280*N280</f>
        <v>0.45400000000000001</v>
      </c>
      <c r="P280">
        <f>K280-M280+O280</f>
        <v>4.7669999999999995</v>
      </c>
    </row>
    <row r="281" spans="1:16">
      <c r="A281">
        <v>280</v>
      </c>
      <c r="B281" t="s">
        <v>314</v>
      </c>
      <c r="C281" t="s">
        <v>51</v>
      </c>
      <c r="D281">
        <v>2002</v>
      </c>
      <c r="E281" t="s">
        <v>18</v>
      </c>
      <c r="F281" t="s">
        <v>115</v>
      </c>
      <c r="G281">
        <v>0.21</v>
      </c>
      <c r="H281">
        <v>0.01</v>
      </c>
      <c r="I281">
        <v>0.56000000000000005</v>
      </c>
      <c r="J281">
        <v>4.1399999999999997</v>
      </c>
      <c r="K281">
        <f>SUM(G281:J281)</f>
        <v>4.92</v>
      </c>
      <c r="L281">
        <f>IF(K281&gt;20,10%,5%)</f>
        <v>0.05</v>
      </c>
      <c r="M281">
        <f>K281*L281</f>
        <v>0.246</v>
      </c>
      <c r="N281">
        <f>LOOKUP(K281,Lookup!$A$2:$A$5,Lookup!$B$2:$B$5)</f>
        <v>0.1</v>
      </c>
      <c r="O281">
        <f>K281*N281</f>
        <v>0.49199999999999999</v>
      </c>
      <c r="P281">
        <f>K281-M281+O281</f>
        <v>5.1659999999999995</v>
      </c>
    </row>
    <row r="282" spans="1:16">
      <c r="A282">
        <v>281</v>
      </c>
      <c r="B282" t="s">
        <v>315</v>
      </c>
      <c r="C282" t="s">
        <v>72</v>
      </c>
      <c r="D282">
        <v>2014</v>
      </c>
      <c r="E282" t="s">
        <v>48</v>
      </c>
      <c r="F282" t="s">
        <v>97</v>
      </c>
      <c r="G282">
        <v>1.86</v>
      </c>
      <c r="H282">
        <v>0.11</v>
      </c>
      <c r="I282">
        <v>0.77</v>
      </c>
      <c r="J282">
        <v>4.1399999999999997</v>
      </c>
      <c r="K282">
        <f>SUM(G282:J282)</f>
        <v>6.88</v>
      </c>
      <c r="L282">
        <f>IF(K282&gt;20,10%,5%)</f>
        <v>0.05</v>
      </c>
      <c r="M282">
        <f>K282*L282</f>
        <v>0.34400000000000003</v>
      </c>
      <c r="N282">
        <f>LOOKUP(K282,Lookup!$A$2:$A$5,Lookup!$B$2:$B$5)</f>
        <v>0.1</v>
      </c>
      <c r="O282">
        <f>K282*N282</f>
        <v>0.68800000000000006</v>
      </c>
      <c r="P282">
        <f>K282-M282+O282</f>
        <v>7.2239999999999993</v>
      </c>
    </row>
    <row r="283" spans="1:16">
      <c r="A283">
        <v>282</v>
      </c>
      <c r="B283" t="s">
        <v>316</v>
      </c>
      <c r="C283" t="s">
        <v>123</v>
      </c>
      <c r="D283">
        <v>1997</v>
      </c>
      <c r="E283" t="s">
        <v>36</v>
      </c>
      <c r="F283" t="s">
        <v>264</v>
      </c>
      <c r="G283">
        <v>0</v>
      </c>
      <c r="H283">
        <v>0.09</v>
      </c>
      <c r="I283">
        <v>0</v>
      </c>
      <c r="J283">
        <v>4.12</v>
      </c>
      <c r="K283">
        <f>SUM(G283:J283)</f>
        <v>4.21</v>
      </c>
      <c r="L283">
        <f>IF(K283&gt;20,10%,5%)</f>
        <v>0.05</v>
      </c>
      <c r="M283">
        <f>K283*L283</f>
        <v>0.21050000000000002</v>
      </c>
      <c r="N283">
        <f>LOOKUP(K283,Lookup!$A$2:$A$5,Lookup!$B$2:$B$5)</f>
        <v>0.1</v>
      </c>
      <c r="O283">
        <f>K283*N283</f>
        <v>0.42100000000000004</v>
      </c>
      <c r="P283">
        <f>K283-M283+O283</f>
        <v>4.4204999999999997</v>
      </c>
    </row>
    <row r="284" spans="1:16">
      <c r="A284">
        <v>283</v>
      </c>
      <c r="B284" t="s">
        <v>317</v>
      </c>
      <c r="C284" t="s">
        <v>53</v>
      </c>
      <c r="D284">
        <v>1995</v>
      </c>
      <c r="E284" t="s">
        <v>2</v>
      </c>
      <c r="F284" t="s">
        <v>19</v>
      </c>
      <c r="G284">
        <v>0.61</v>
      </c>
      <c r="H284">
        <v>1.76</v>
      </c>
      <c r="I284">
        <v>0.09</v>
      </c>
      <c r="J284">
        <v>4.12</v>
      </c>
      <c r="K284">
        <f>SUM(G284:J284)</f>
        <v>6.58</v>
      </c>
      <c r="L284">
        <f>IF(K284&gt;20,10%,5%)</f>
        <v>0.05</v>
      </c>
      <c r="M284">
        <f>K284*L284</f>
        <v>0.32900000000000001</v>
      </c>
      <c r="N284">
        <f>LOOKUP(K284,Lookup!$A$2:$A$5,Lookup!$B$2:$B$5)</f>
        <v>0.1</v>
      </c>
      <c r="O284">
        <f>K284*N284</f>
        <v>0.65800000000000003</v>
      </c>
      <c r="P284">
        <f>K284-M284+O284</f>
        <v>6.9090000000000007</v>
      </c>
    </row>
    <row r="285" spans="1:16">
      <c r="A285">
        <v>284</v>
      </c>
      <c r="B285" t="s">
        <v>318</v>
      </c>
      <c r="C285" t="s">
        <v>51</v>
      </c>
      <c r="D285">
        <v>2006</v>
      </c>
      <c r="E285" t="s">
        <v>18</v>
      </c>
      <c r="F285" t="s">
        <v>115</v>
      </c>
      <c r="G285">
        <v>2.48</v>
      </c>
      <c r="H285">
        <v>0.03</v>
      </c>
      <c r="I285">
        <v>0.89</v>
      </c>
      <c r="J285">
        <v>4.1100000000000003</v>
      </c>
      <c r="K285">
        <f>SUM(G285:J285)</f>
        <v>7.51</v>
      </c>
      <c r="L285">
        <f>IF(K285&gt;20,10%,5%)</f>
        <v>0.05</v>
      </c>
      <c r="M285">
        <f>K285*L285</f>
        <v>0.3755</v>
      </c>
      <c r="N285">
        <f>LOOKUP(K285,Lookup!$A$2:$A$5,Lookup!$B$2:$B$5)</f>
        <v>0.1</v>
      </c>
      <c r="O285">
        <f>K285*N285</f>
        <v>0.751</v>
      </c>
      <c r="P285">
        <f>K285-M285+O285</f>
        <v>7.8855000000000004</v>
      </c>
    </row>
    <row r="286" spans="1:16">
      <c r="A286">
        <v>285</v>
      </c>
      <c r="B286" t="s">
        <v>319</v>
      </c>
      <c r="C286" t="s">
        <v>17</v>
      </c>
      <c r="D286">
        <v>2011</v>
      </c>
      <c r="E286" t="s">
        <v>48</v>
      </c>
      <c r="F286" t="s">
        <v>19</v>
      </c>
      <c r="G286">
        <v>1.2</v>
      </c>
      <c r="H286">
        <v>0.37</v>
      </c>
      <c r="I286">
        <v>0.4</v>
      </c>
      <c r="J286">
        <v>4.0999999999999996</v>
      </c>
      <c r="K286">
        <f>SUM(G286:J286)</f>
        <v>6.0699999999999994</v>
      </c>
      <c r="L286">
        <f>IF(K286&gt;20,10%,5%)</f>
        <v>0.05</v>
      </c>
      <c r="M286">
        <f>K286*L286</f>
        <v>0.30349999999999999</v>
      </c>
      <c r="N286">
        <f>LOOKUP(K286,Lookup!$A$2:$A$5,Lookup!$B$2:$B$5)</f>
        <v>0.1</v>
      </c>
      <c r="O286">
        <f>K286*N286</f>
        <v>0.60699999999999998</v>
      </c>
      <c r="P286">
        <f>K286-M286+O286</f>
        <v>6.3734999999999999</v>
      </c>
    </row>
    <row r="287" spans="1:16">
      <c r="A287">
        <v>286</v>
      </c>
      <c r="B287" t="s">
        <v>320</v>
      </c>
      <c r="C287" t="s">
        <v>53</v>
      </c>
      <c r="D287">
        <v>1992</v>
      </c>
      <c r="E287" t="s">
        <v>77</v>
      </c>
      <c r="F287" t="s">
        <v>180</v>
      </c>
      <c r="G287">
        <v>0.51</v>
      </c>
      <c r="H287">
        <v>2.1</v>
      </c>
      <c r="I287">
        <v>7.0000000000000007E-2</v>
      </c>
      <c r="J287">
        <v>4.0999999999999996</v>
      </c>
      <c r="K287">
        <f>SUM(G287:J287)</f>
        <v>6.7799999999999994</v>
      </c>
      <c r="L287">
        <f>IF(K287&gt;20,10%,5%)</f>
        <v>0.05</v>
      </c>
      <c r="M287">
        <f>K287*L287</f>
        <v>0.33899999999999997</v>
      </c>
      <c r="N287">
        <f>LOOKUP(K287,Lookup!$A$2:$A$5,Lookup!$B$2:$B$5)</f>
        <v>0.1</v>
      </c>
      <c r="O287">
        <f>K287*N287</f>
        <v>0.67799999999999994</v>
      </c>
      <c r="P287">
        <f>K287-M287+O287</f>
        <v>7.1189999999999989</v>
      </c>
    </row>
    <row r="288" spans="1:16">
      <c r="A288">
        <v>287</v>
      </c>
      <c r="B288" t="s">
        <v>321</v>
      </c>
      <c r="C288" t="s">
        <v>17</v>
      </c>
      <c r="D288">
        <v>2007</v>
      </c>
      <c r="E288" t="s">
        <v>33</v>
      </c>
      <c r="F288" t="s">
        <v>49</v>
      </c>
      <c r="G288">
        <v>1.5</v>
      </c>
      <c r="H288">
        <v>0.05</v>
      </c>
      <c r="I288">
        <v>0.42</v>
      </c>
      <c r="J288">
        <v>4.0999999999999996</v>
      </c>
      <c r="K288">
        <f>SUM(G288:J288)</f>
        <v>6.0699999999999994</v>
      </c>
      <c r="L288">
        <f>IF(K288&gt;20,10%,5%)</f>
        <v>0.05</v>
      </c>
      <c r="M288">
        <f>K288*L288</f>
        <v>0.30349999999999999</v>
      </c>
      <c r="N288">
        <f>LOOKUP(K288,Lookup!$A$2:$A$5,Lookup!$B$2:$B$5)</f>
        <v>0.1</v>
      </c>
      <c r="O288">
        <f>K288*N288</f>
        <v>0.60699999999999998</v>
      </c>
      <c r="P288">
        <f>K288-M288+O288</f>
        <v>6.3734999999999999</v>
      </c>
    </row>
    <row r="289" spans="1:16">
      <c r="A289">
        <v>288</v>
      </c>
      <c r="B289" t="s">
        <v>154</v>
      </c>
      <c r="C289" t="s">
        <v>145</v>
      </c>
      <c r="D289">
        <v>2015</v>
      </c>
      <c r="E289" t="s">
        <v>27</v>
      </c>
      <c r="F289" t="s">
        <v>112</v>
      </c>
      <c r="G289">
        <v>1.26</v>
      </c>
      <c r="H289">
        <v>0.01</v>
      </c>
      <c r="I289">
        <v>0.37</v>
      </c>
      <c r="J289">
        <v>4.09</v>
      </c>
      <c r="K289">
        <f>SUM(G289:J289)</f>
        <v>5.73</v>
      </c>
      <c r="L289">
        <f>IF(K289&gt;20,10%,5%)</f>
        <v>0.05</v>
      </c>
      <c r="M289">
        <f>K289*L289</f>
        <v>0.28650000000000003</v>
      </c>
      <c r="N289">
        <f>LOOKUP(K289,Lookup!$A$2:$A$5,Lookup!$B$2:$B$5)</f>
        <v>0.1</v>
      </c>
      <c r="O289">
        <f>K289*N289</f>
        <v>0.57300000000000006</v>
      </c>
      <c r="P289">
        <f>K289-M289+O289</f>
        <v>6.0165000000000006</v>
      </c>
    </row>
    <row r="290" spans="1:16">
      <c r="A290">
        <v>289</v>
      </c>
      <c r="B290" t="s">
        <v>322</v>
      </c>
      <c r="C290" t="s">
        <v>123</v>
      </c>
      <c r="D290">
        <v>2007</v>
      </c>
      <c r="E290" t="s">
        <v>27</v>
      </c>
      <c r="F290" t="s">
        <v>66</v>
      </c>
      <c r="G290">
        <v>1.52</v>
      </c>
      <c r="H290">
        <v>0</v>
      </c>
      <c r="I290">
        <v>0</v>
      </c>
      <c r="J290">
        <v>4.09</v>
      </c>
      <c r="K290">
        <f>SUM(G290:J290)</f>
        <v>5.6099999999999994</v>
      </c>
      <c r="L290">
        <f>IF(K290&gt;20,10%,5%)</f>
        <v>0.05</v>
      </c>
      <c r="M290">
        <f>K290*L290</f>
        <v>0.28049999999999997</v>
      </c>
      <c r="N290">
        <f>LOOKUP(K290,Lookup!$A$2:$A$5,Lookup!$B$2:$B$5)</f>
        <v>0.1</v>
      </c>
      <c r="O290">
        <f>K290*N290</f>
        <v>0.56099999999999994</v>
      </c>
      <c r="P290">
        <f>K290-M290+O290</f>
        <v>5.8904999999999994</v>
      </c>
    </row>
    <row r="291" spans="1:16">
      <c r="A291">
        <v>290</v>
      </c>
      <c r="B291" t="s">
        <v>323</v>
      </c>
      <c r="C291" t="s">
        <v>44</v>
      </c>
      <c r="D291">
        <v>2010</v>
      </c>
      <c r="E291" t="s">
        <v>27</v>
      </c>
      <c r="F291" t="s">
        <v>112</v>
      </c>
      <c r="G291">
        <v>1.06</v>
      </c>
      <c r="H291">
        <v>0.04</v>
      </c>
      <c r="I291">
        <v>0.33</v>
      </c>
      <c r="J291">
        <v>4.08</v>
      </c>
      <c r="K291">
        <f>SUM(G291:J291)</f>
        <v>5.51</v>
      </c>
      <c r="L291">
        <f>IF(K291&gt;20,10%,5%)</f>
        <v>0.05</v>
      </c>
      <c r="M291">
        <f>K291*L291</f>
        <v>0.27550000000000002</v>
      </c>
      <c r="N291">
        <f>LOOKUP(K291,Lookup!$A$2:$A$5,Lookup!$B$2:$B$5)</f>
        <v>0.1</v>
      </c>
      <c r="O291">
        <f>K291*N291</f>
        <v>0.55100000000000005</v>
      </c>
      <c r="P291">
        <f>K291-M291+O291</f>
        <v>5.7854999999999999</v>
      </c>
    </row>
    <row r="292" spans="1:16">
      <c r="A292">
        <v>291</v>
      </c>
      <c r="B292" t="s">
        <v>324</v>
      </c>
      <c r="C292" t="s">
        <v>51</v>
      </c>
      <c r="D292">
        <v>2007</v>
      </c>
      <c r="E292" t="s">
        <v>48</v>
      </c>
      <c r="F292" t="s">
        <v>64</v>
      </c>
      <c r="G292">
        <v>0.04</v>
      </c>
      <c r="H292">
        <v>0.04</v>
      </c>
      <c r="I292">
        <v>1.67</v>
      </c>
      <c r="J292">
        <v>4.07</v>
      </c>
      <c r="K292">
        <f>SUM(G292:J292)</f>
        <v>5.82</v>
      </c>
      <c r="L292">
        <f>IF(K292&gt;20,10%,5%)</f>
        <v>0.05</v>
      </c>
      <c r="M292">
        <f>K292*L292</f>
        <v>0.29100000000000004</v>
      </c>
      <c r="N292">
        <f>LOOKUP(K292,Lookup!$A$2:$A$5,Lookup!$B$2:$B$5)</f>
        <v>0.1</v>
      </c>
      <c r="O292">
        <f>K292*N292</f>
        <v>0.58200000000000007</v>
      </c>
      <c r="P292">
        <f>K292-M292+O292</f>
        <v>6.1109999999999998</v>
      </c>
    </row>
    <row r="293" spans="1:16">
      <c r="A293">
        <v>292</v>
      </c>
      <c r="B293" t="s">
        <v>325</v>
      </c>
      <c r="C293" t="s">
        <v>44</v>
      </c>
      <c r="D293">
        <v>2007</v>
      </c>
      <c r="E293" t="s">
        <v>23</v>
      </c>
      <c r="F293" t="s">
        <v>45</v>
      </c>
      <c r="G293">
        <v>1.28</v>
      </c>
      <c r="H293">
        <v>0.03</v>
      </c>
      <c r="I293">
        <v>0.41</v>
      </c>
      <c r="J293">
        <v>4.0599999999999996</v>
      </c>
      <c r="K293">
        <f>SUM(G293:J293)</f>
        <v>5.7799999999999994</v>
      </c>
      <c r="L293">
        <f>IF(K293&gt;20,10%,5%)</f>
        <v>0.05</v>
      </c>
      <c r="M293">
        <f>K293*L293</f>
        <v>0.28899999999999998</v>
      </c>
      <c r="N293">
        <f>LOOKUP(K293,Lookup!$A$2:$A$5,Lookup!$B$2:$B$5)</f>
        <v>0.1</v>
      </c>
      <c r="O293">
        <f>K293*N293</f>
        <v>0.57799999999999996</v>
      </c>
      <c r="P293">
        <f>K293-M293+O293</f>
        <v>6.069</v>
      </c>
    </row>
    <row r="294" spans="1:16">
      <c r="A294">
        <v>293</v>
      </c>
      <c r="B294" t="s">
        <v>326</v>
      </c>
      <c r="C294" t="s">
        <v>51</v>
      </c>
      <c r="D294">
        <v>2005</v>
      </c>
      <c r="E294" t="s">
        <v>18</v>
      </c>
      <c r="F294" t="s">
        <v>188</v>
      </c>
      <c r="G294">
        <v>2.2599999999999998</v>
      </c>
      <c r="H294">
        <v>0.9</v>
      </c>
      <c r="I294">
        <v>0.77</v>
      </c>
      <c r="J294">
        <v>4.0599999999999996</v>
      </c>
      <c r="K294">
        <f>SUM(G294:J294)</f>
        <v>7.9899999999999993</v>
      </c>
      <c r="L294">
        <f>IF(K294&gt;20,10%,5%)</f>
        <v>0.05</v>
      </c>
      <c r="M294">
        <f>K294*L294</f>
        <v>0.39949999999999997</v>
      </c>
      <c r="N294">
        <f>LOOKUP(K294,Lookup!$A$2:$A$5,Lookup!$B$2:$B$5)</f>
        <v>0.1</v>
      </c>
      <c r="O294">
        <f>K294*N294</f>
        <v>0.79899999999999993</v>
      </c>
      <c r="P294">
        <f>K294-M294+O294</f>
        <v>8.3895</v>
      </c>
    </row>
    <row r="295" spans="1:16">
      <c r="A295">
        <v>294</v>
      </c>
      <c r="B295" t="s">
        <v>327</v>
      </c>
      <c r="C295" t="s">
        <v>91</v>
      </c>
      <c r="D295">
        <v>1996</v>
      </c>
      <c r="E295" t="s">
        <v>33</v>
      </c>
      <c r="F295" t="s">
        <v>64</v>
      </c>
      <c r="G295">
        <v>1.55</v>
      </c>
      <c r="H295">
        <v>0.16</v>
      </c>
      <c r="I295">
        <v>0.06</v>
      </c>
      <c r="J295">
        <v>4.05</v>
      </c>
      <c r="K295">
        <f>SUM(G295:J295)</f>
        <v>5.82</v>
      </c>
      <c r="L295">
        <f>IF(K295&gt;20,10%,5%)</f>
        <v>0.05</v>
      </c>
      <c r="M295">
        <f>K295*L295</f>
        <v>0.29100000000000004</v>
      </c>
      <c r="N295">
        <f>LOOKUP(K295,Lookup!$A$2:$A$5,Lookup!$B$2:$B$5)</f>
        <v>0.1</v>
      </c>
      <c r="O295">
        <f>K295*N295</f>
        <v>0.58200000000000007</v>
      </c>
      <c r="P295">
        <f>K295-M295+O295</f>
        <v>6.1109999999999998</v>
      </c>
    </row>
    <row r="296" spans="1:16">
      <c r="A296">
        <v>295</v>
      </c>
      <c r="B296" t="s">
        <v>328</v>
      </c>
      <c r="C296" t="s">
        <v>51</v>
      </c>
      <c r="D296">
        <v>2000</v>
      </c>
      <c r="E296" t="s">
        <v>77</v>
      </c>
      <c r="F296" t="s">
        <v>300</v>
      </c>
      <c r="G296">
        <v>1.51</v>
      </c>
      <c r="H296">
        <v>0.51</v>
      </c>
      <c r="I296">
        <v>0.35</v>
      </c>
      <c r="J296">
        <v>4.05</v>
      </c>
      <c r="K296">
        <f>SUM(G296:J296)</f>
        <v>6.42</v>
      </c>
      <c r="L296">
        <f>IF(K296&gt;20,10%,5%)</f>
        <v>0.05</v>
      </c>
      <c r="M296">
        <f>K296*L296</f>
        <v>0.32100000000000001</v>
      </c>
      <c r="N296">
        <f>LOOKUP(K296,Lookup!$A$2:$A$5,Lookup!$B$2:$B$5)</f>
        <v>0.1</v>
      </c>
      <c r="O296">
        <f>K296*N296</f>
        <v>0.64200000000000002</v>
      </c>
      <c r="P296">
        <f>K296-M296+O296</f>
        <v>6.7410000000000005</v>
      </c>
    </row>
    <row r="297" spans="1:16">
      <c r="A297">
        <v>296</v>
      </c>
      <c r="B297" t="s">
        <v>329</v>
      </c>
      <c r="C297" t="s">
        <v>72</v>
      </c>
      <c r="D297">
        <v>2014</v>
      </c>
      <c r="E297" t="s">
        <v>36</v>
      </c>
      <c r="F297" t="s">
        <v>97</v>
      </c>
      <c r="G297">
        <v>2.12</v>
      </c>
      <c r="H297">
        <v>0.1</v>
      </c>
      <c r="I297">
        <v>0.69</v>
      </c>
      <c r="J297">
        <v>4.03</v>
      </c>
      <c r="K297">
        <f>SUM(G297:J297)</f>
        <v>6.94</v>
      </c>
      <c r="L297">
        <f>IF(K297&gt;20,10%,5%)</f>
        <v>0.05</v>
      </c>
      <c r="M297">
        <f>K297*L297</f>
        <v>0.34700000000000003</v>
      </c>
      <c r="N297">
        <f>LOOKUP(K297,Lookup!$A$2:$A$5,Lookup!$B$2:$B$5)</f>
        <v>0.1</v>
      </c>
      <c r="O297">
        <f>K297*N297</f>
        <v>0.69400000000000006</v>
      </c>
      <c r="P297">
        <f>K297-M297+O297</f>
        <v>7.2869999999999999</v>
      </c>
    </row>
    <row r="298" spans="1:16">
      <c r="A298">
        <v>297</v>
      </c>
      <c r="B298" t="s">
        <v>330</v>
      </c>
      <c r="C298" t="s">
        <v>83</v>
      </c>
      <c r="D298">
        <v>1997</v>
      </c>
      <c r="E298" t="s">
        <v>36</v>
      </c>
      <c r="F298" t="s">
        <v>19</v>
      </c>
      <c r="G298">
        <v>0.57999999999999996</v>
      </c>
      <c r="H298">
        <v>0.64</v>
      </c>
      <c r="I298">
        <v>0.04</v>
      </c>
      <c r="J298">
        <v>4.03</v>
      </c>
      <c r="K298">
        <f>SUM(G298:J298)</f>
        <v>5.29</v>
      </c>
      <c r="L298">
        <f>IF(K298&gt;20,10%,5%)</f>
        <v>0.05</v>
      </c>
      <c r="M298">
        <f>K298*L298</f>
        <v>0.26450000000000001</v>
      </c>
      <c r="N298">
        <f>LOOKUP(K298,Lookup!$A$2:$A$5,Lookup!$B$2:$B$5)</f>
        <v>0.1</v>
      </c>
      <c r="O298">
        <f>K298*N298</f>
        <v>0.52900000000000003</v>
      </c>
      <c r="P298">
        <f>K298-M298+O298</f>
        <v>5.5545</v>
      </c>
    </row>
    <row r="299" spans="1:16">
      <c r="A299">
        <v>298</v>
      </c>
      <c r="B299" t="s">
        <v>108</v>
      </c>
      <c r="C299" t="s">
        <v>72</v>
      </c>
      <c r="D299">
        <v>2014</v>
      </c>
      <c r="E299" t="s">
        <v>33</v>
      </c>
      <c r="F299" t="s">
        <v>194</v>
      </c>
      <c r="G299">
        <v>1.87</v>
      </c>
      <c r="H299">
        <v>0.12</v>
      </c>
      <c r="I299">
        <v>0.65</v>
      </c>
      <c r="J299">
        <v>4.0199999999999996</v>
      </c>
      <c r="K299">
        <f>SUM(G299:J299)</f>
        <v>6.66</v>
      </c>
      <c r="L299">
        <f>IF(K299&gt;20,10%,5%)</f>
        <v>0.05</v>
      </c>
      <c r="M299">
        <f>K299*L299</f>
        <v>0.33300000000000002</v>
      </c>
      <c r="N299">
        <f>LOOKUP(K299,Lookup!$A$2:$A$5,Lookup!$B$2:$B$5)</f>
        <v>0.1</v>
      </c>
      <c r="O299">
        <f>K299*N299</f>
        <v>0.66600000000000004</v>
      </c>
      <c r="P299">
        <f>K299-M299+O299</f>
        <v>6.9930000000000003</v>
      </c>
    </row>
    <row r="300" spans="1:16">
      <c r="A300">
        <v>299</v>
      </c>
      <c r="B300" t="s">
        <v>331</v>
      </c>
      <c r="C300" t="s">
        <v>21</v>
      </c>
      <c r="D300">
        <v>1984</v>
      </c>
      <c r="E300" t="s">
        <v>18</v>
      </c>
      <c r="F300" t="s">
        <v>19</v>
      </c>
      <c r="G300">
        <v>0.28000000000000003</v>
      </c>
      <c r="H300">
        <v>2.46</v>
      </c>
      <c r="I300">
        <v>0.04</v>
      </c>
      <c r="J300">
        <v>4.01</v>
      </c>
      <c r="K300">
        <f>SUM(G300:J300)</f>
        <v>6.79</v>
      </c>
      <c r="L300">
        <f>IF(K300&gt;20,10%,5%)</f>
        <v>0.05</v>
      </c>
      <c r="M300">
        <f>K300*L300</f>
        <v>0.33950000000000002</v>
      </c>
      <c r="N300">
        <f>LOOKUP(K300,Lookup!$A$2:$A$5,Lookup!$B$2:$B$5)</f>
        <v>0.1</v>
      </c>
      <c r="O300">
        <f>K300*N300</f>
        <v>0.67900000000000005</v>
      </c>
      <c r="P300">
        <f>K300-M300+O300</f>
        <v>7.1295000000000002</v>
      </c>
    </row>
    <row r="301" spans="1:16">
      <c r="A301">
        <v>300</v>
      </c>
      <c r="B301" t="s">
        <v>252</v>
      </c>
      <c r="C301" t="s">
        <v>47</v>
      </c>
      <c r="D301">
        <v>2008</v>
      </c>
      <c r="E301" t="s">
        <v>27</v>
      </c>
      <c r="F301" t="s">
        <v>112</v>
      </c>
      <c r="G301">
        <v>1.2</v>
      </c>
      <c r="H301">
        <v>7.0000000000000007E-2</v>
      </c>
      <c r="I301">
        <v>0.59</v>
      </c>
      <c r="J301">
        <v>4.01</v>
      </c>
      <c r="K301">
        <f>SUM(G301:J301)</f>
        <v>5.8699999999999992</v>
      </c>
      <c r="L301">
        <f>IF(K301&gt;20,10%,5%)</f>
        <v>0.05</v>
      </c>
      <c r="M301">
        <f>K301*L301</f>
        <v>0.29349999999999998</v>
      </c>
      <c r="N301">
        <f>LOOKUP(K301,Lookup!$A$2:$A$5,Lookup!$B$2:$B$5)</f>
        <v>0.1</v>
      </c>
      <c r="O301">
        <f>K301*N301</f>
        <v>0.58699999999999997</v>
      </c>
      <c r="P301">
        <f>K301-M301+O301</f>
        <v>6.1634999999999991</v>
      </c>
    </row>
    <row r="302" spans="1:16">
      <c r="A302">
        <v>301</v>
      </c>
      <c r="B302" t="s">
        <v>332</v>
      </c>
      <c r="C302" t="s">
        <v>31</v>
      </c>
      <c r="D302">
        <v>2007</v>
      </c>
      <c r="E302" t="s">
        <v>29</v>
      </c>
      <c r="F302" t="s">
        <v>19</v>
      </c>
      <c r="G302">
        <v>1.78</v>
      </c>
      <c r="H302">
        <v>0.92</v>
      </c>
      <c r="I302">
        <v>0.37</v>
      </c>
      <c r="J302">
        <v>4</v>
      </c>
      <c r="K302">
        <f>SUM(G302:J302)</f>
        <v>7.07</v>
      </c>
      <c r="L302">
        <f>IF(K302&gt;20,10%,5%)</f>
        <v>0.05</v>
      </c>
      <c r="M302">
        <f>K302*L302</f>
        <v>0.35350000000000004</v>
      </c>
      <c r="N302">
        <f>LOOKUP(K302,Lookup!$A$2:$A$5,Lookup!$B$2:$B$5)</f>
        <v>0.1</v>
      </c>
      <c r="O302">
        <f>K302*N302</f>
        <v>0.70700000000000007</v>
      </c>
      <c r="P302">
        <f>K302-M302+O302</f>
        <v>7.4234999999999998</v>
      </c>
    </row>
    <row r="303" spans="1:16">
      <c r="A303">
        <v>302</v>
      </c>
      <c r="B303" t="s">
        <v>333</v>
      </c>
      <c r="C303" t="s">
        <v>44</v>
      </c>
      <c r="D303">
        <v>2009</v>
      </c>
      <c r="E303" t="s">
        <v>36</v>
      </c>
      <c r="F303" t="s">
        <v>115</v>
      </c>
      <c r="G303">
        <v>0.89</v>
      </c>
      <c r="H303">
        <v>0.05</v>
      </c>
      <c r="I303">
        <v>0.37</v>
      </c>
      <c r="J303">
        <v>3.99</v>
      </c>
      <c r="K303">
        <f>SUM(G303:J303)</f>
        <v>5.3000000000000007</v>
      </c>
      <c r="L303">
        <f>IF(K303&gt;20,10%,5%)</f>
        <v>0.05</v>
      </c>
      <c r="M303">
        <f>K303*L303</f>
        <v>0.26500000000000007</v>
      </c>
      <c r="N303">
        <f>LOOKUP(K303,Lookup!$A$2:$A$5,Lookup!$B$2:$B$5)</f>
        <v>0.1</v>
      </c>
      <c r="O303">
        <f>K303*N303</f>
        <v>0.53000000000000014</v>
      </c>
      <c r="P303">
        <f>K303-M303+O303</f>
        <v>5.5650000000000013</v>
      </c>
    </row>
    <row r="304" spans="1:16">
      <c r="A304">
        <v>303</v>
      </c>
      <c r="B304" t="s">
        <v>334</v>
      </c>
      <c r="C304" t="s">
        <v>51</v>
      </c>
      <c r="D304">
        <v>2005</v>
      </c>
      <c r="E304" t="s">
        <v>33</v>
      </c>
      <c r="F304" t="s">
        <v>300</v>
      </c>
      <c r="G304">
        <v>1.35</v>
      </c>
      <c r="H304">
        <v>0</v>
      </c>
      <c r="I304">
        <v>0.54</v>
      </c>
      <c r="J304">
        <v>3.98</v>
      </c>
      <c r="K304">
        <f>SUM(G304:J304)</f>
        <v>5.87</v>
      </c>
      <c r="L304">
        <f>IF(K304&gt;20,10%,5%)</f>
        <v>0.05</v>
      </c>
      <c r="M304">
        <f>K304*L304</f>
        <v>0.29350000000000004</v>
      </c>
      <c r="N304">
        <f>LOOKUP(K304,Lookup!$A$2:$A$5,Lookup!$B$2:$B$5)</f>
        <v>0.1</v>
      </c>
      <c r="O304">
        <f>K304*N304</f>
        <v>0.58700000000000008</v>
      </c>
      <c r="P304">
        <f>K304-M304+O304</f>
        <v>6.1635</v>
      </c>
    </row>
    <row r="305" spans="1:16">
      <c r="A305">
        <v>304</v>
      </c>
      <c r="B305" t="s">
        <v>335</v>
      </c>
      <c r="C305" t="s">
        <v>17</v>
      </c>
      <c r="D305">
        <v>2009</v>
      </c>
      <c r="E305" t="s">
        <v>18</v>
      </c>
      <c r="F305" t="s">
        <v>115</v>
      </c>
      <c r="G305">
        <v>1.36</v>
      </c>
      <c r="H305">
        <v>0.06</v>
      </c>
      <c r="I305">
        <v>0.4</v>
      </c>
      <c r="J305">
        <v>3.92</v>
      </c>
      <c r="K305">
        <f>SUM(G305:J305)</f>
        <v>5.74</v>
      </c>
      <c r="L305">
        <f>IF(K305&gt;20,10%,5%)</f>
        <v>0.05</v>
      </c>
      <c r="M305">
        <f>K305*L305</f>
        <v>0.28700000000000003</v>
      </c>
      <c r="N305">
        <f>LOOKUP(K305,Lookup!$A$2:$A$5,Lookup!$B$2:$B$5)</f>
        <v>0.1</v>
      </c>
      <c r="O305">
        <f>K305*N305</f>
        <v>0.57400000000000007</v>
      </c>
      <c r="P305">
        <f>K305-M305+O305</f>
        <v>6.0270000000000001</v>
      </c>
    </row>
    <row r="306" spans="1:16">
      <c r="A306">
        <v>305</v>
      </c>
      <c r="B306" t="s">
        <v>336</v>
      </c>
      <c r="C306" t="s">
        <v>72</v>
      </c>
      <c r="D306">
        <v>2014</v>
      </c>
      <c r="E306" t="s">
        <v>48</v>
      </c>
      <c r="F306" t="s">
        <v>97</v>
      </c>
      <c r="G306">
        <v>1.96</v>
      </c>
      <c r="H306">
        <v>0.08</v>
      </c>
      <c r="I306">
        <v>0.7</v>
      </c>
      <c r="J306">
        <v>3.92</v>
      </c>
      <c r="K306">
        <f>SUM(G306:J306)</f>
        <v>6.66</v>
      </c>
      <c r="L306">
        <f>IF(K306&gt;20,10%,5%)</f>
        <v>0.05</v>
      </c>
      <c r="M306">
        <f>K306*L306</f>
        <v>0.33300000000000002</v>
      </c>
      <c r="N306">
        <f>LOOKUP(K306,Lookup!$A$2:$A$5,Lookup!$B$2:$B$5)</f>
        <v>0.1</v>
      </c>
      <c r="O306">
        <f>K306*N306</f>
        <v>0.66600000000000004</v>
      </c>
      <c r="P306">
        <f>K306-M306+O306</f>
        <v>6.9930000000000003</v>
      </c>
    </row>
    <row r="307" spans="1:16">
      <c r="A307">
        <v>306</v>
      </c>
      <c r="B307" t="s">
        <v>337</v>
      </c>
      <c r="C307" t="s">
        <v>26</v>
      </c>
      <c r="D307">
        <v>1994</v>
      </c>
      <c r="E307" t="s">
        <v>2</v>
      </c>
      <c r="F307" t="s">
        <v>19</v>
      </c>
      <c r="G307">
        <v>0.76</v>
      </c>
      <c r="H307">
        <v>1.07</v>
      </c>
      <c r="I307">
        <v>0.11</v>
      </c>
      <c r="J307">
        <v>3.91</v>
      </c>
      <c r="K307">
        <f>SUM(G307:J307)</f>
        <v>5.8500000000000005</v>
      </c>
      <c r="L307">
        <f>IF(K307&gt;20,10%,5%)</f>
        <v>0.05</v>
      </c>
      <c r="M307">
        <f>K307*L307</f>
        <v>0.29250000000000004</v>
      </c>
      <c r="N307">
        <f>LOOKUP(K307,Lookup!$A$2:$A$5,Lookup!$B$2:$B$5)</f>
        <v>0.1</v>
      </c>
      <c r="O307">
        <f>K307*N307</f>
        <v>0.58500000000000008</v>
      </c>
      <c r="P307">
        <f>K307-M307+O307</f>
        <v>6.1425000000000001</v>
      </c>
    </row>
    <row r="308" spans="1:16">
      <c r="A308">
        <v>307</v>
      </c>
      <c r="B308" t="s">
        <v>338</v>
      </c>
      <c r="C308" t="s">
        <v>51</v>
      </c>
      <c r="D308">
        <v>2003</v>
      </c>
      <c r="E308" t="s">
        <v>18</v>
      </c>
      <c r="F308" t="s">
        <v>66</v>
      </c>
      <c r="G308">
        <v>1.17</v>
      </c>
      <c r="H308">
        <v>0.01</v>
      </c>
      <c r="I308">
        <v>0.42</v>
      </c>
      <c r="J308">
        <v>3.9</v>
      </c>
      <c r="K308">
        <f>SUM(G308:J308)</f>
        <v>5.5</v>
      </c>
      <c r="L308">
        <f>IF(K308&gt;20,10%,5%)</f>
        <v>0.05</v>
      </c>
      <c r="M308">
        <f>K308*L308</f>
        <v>0.27500000000000002</v>
      </c>
      <c r="N308">
        <f>LOOKUP(K308,Lookup!$A$2:$A$5,Lookup!$B$2:$B$5)</f>
        <v>0.1</v>
      </c>
      <c r="O308">
        <f>K308*N308</f>
        <v>0.55000000000000004</v>
      </c>
      <c r="P308">
        <f>K308-M308+O308</f>
        <v>5.7749999999999995</v>
      </c>
    </row>
    <row r="309" spans="1:16">
      <c r="A309">
        <v>308</v>
      </c>
      <c r="B309" t="s">
        <v>339</v>
      </c>
      <c r="C309" t="s">
        <v>47</v>
      </c>
      <c r="D309">
        <v>2013</v>
      </c>
      <c r="E309" t="s">
        <v>48</v>
      </c>
      <c r="F309" t="s">
        <v>97</v>
      </c>
      <c r="G309">
        <v>1.71</v>
      </c>
      <c r="H309">
        <v>0.13</v>
      </c>
      <c r="I309">
        <v>0.73</v>
      </c>
      <c r="J309">
        <v>3.89</v>
      </c>
      <c r="K309">
        <f>SUM(G309:J309)</f>
        <v>6.46</v>
      </c>
      <c r="L309">
        <f>IF(K309&gt;20,10%,5%)</f>
        <v>0.05</v>
      </c>
      <c r="M309">
        <f>K309*L309</f>
        <v>0.32300000000000001</v>
      </c>
      <c r="N309">
        <f>LOOKUP(K309,Lookup!$A$2:$A$5,Lookup!$B$2:$B$5)</f>
        <v>0.1</v>
      </c>
      <c r="O309">
        <f>K309*N309</f>
        <v>0.64600000000000002</v>
      </c>
      <c r="P309">
        <f>K309-M309+O309</f>
        <v>6.7829999999999995</v>
      </c>
    </row>
    <row r="310" spans="1:16">
      <c r="A310">
        <v>309</v>
      </c>
      <c r="B310" t="s">
        <v>340</v>
      </c>
      <c r="C310" t="s">
        <v>70</v>
      </c>
      <c r="D310">
        <v>2014</v>
      </c>
      <c r="E310" t="s">
        <v>27</v>
      </c>
      <c r="F310" t="s">
        <v>19</v>
      </c>
      <c r="G310">
        <v>0.49</v>
      </c>
      <c r="H310">
        <v>2.62</v>
      </c>
      <c r="I310">
        <v>0.11</v>
      </c>
      <c r="J310">
        <v>3.89</v>
      </c>
      <c r="K310">
        <f>SUM(G310:J310)</f>
        <v>7.11</v>
      </c>
      <c r="L310">
        <f>IF(K310&gt;20,10%,5%)</f>
        <v>0.05</v>
      </c>
      <c r="M310">
        <f>K310*L310</f>
        <v>0.35550000000000004</v>
      </c>
      <c r="N310">
        <f>LOOKUP(K310,Lookup!$A$2:$A$5,Lookup!$B$2:$B$5)</f>
        <v>0.1</v>
      </c>
      <c r="O310">
        <f>K310*N310</f>
        <v>0.71100000000000008</v>
      </c>
      <c r="P310">
        <f>K310-M310+O310</f>
        <v>7.4655000000000005</v>
      </c>
    </row>
    <row r="311" spans="1:16">
      <c r="A311">
        <v>310</v>
      </c>
      <c r="B311" t="s">
        <v>341</v>
      </c>
      <c r="C311" t="s">
        <v>47</v>
      </c>
      <c r="D311">
        <v>2006</v>
      </c>
      <c r="E311" t="s">
        <v>23</v>
      </c>
      <c r="F311" t="s">
        <v>64</v>
      </c>
      <c r="G311">
        <v>1.61</v>
      </c>
      <c r="H311">
        <v>0.06</v>
      </c>
      <c r="I311">
        <v>0.67</v>
      </c>
      <c r="J311">
        <v>3.88</v>
      </c>
      <c r="K311">
        <f>SUM(G311:J311)</f>
        <v>6.2200000000000006</v>
      </c>
      <c r="L311">
        <f>IF(K311&gt;20,10%,5%)</f>
        <v>0.05</v>
      </c>
      <c r="M311">
        <f>K311*L311</f>
        <v>0.31100000000000005</v>
      </c>
      <c r="N311">
        <f>LOOKUP(K311,Lookup!$A$2:$A$5,Lookup!$B$2:$B$5)</f>
        <v>0.1</v>
      </c>
      <c r="O311">
        <f>K311*N311</f>
        <v>0.62200000000000011</v>
      </c>
      <c r="P311">
        <f>K311-M311+O311</f>
        <v>6.5310000000000006</v>
      </c>
    </row>
    <row r="312" spans="1:16">
      <c r="A312">
        <v>311</v>
      </c>
      <c r="B312" t="s">
        <v>111</v>
      </c>
      <c r="C312" t="s">
        <v>123</v>
      </c>
      <c r="D312">
        <v>2011</v>
      </c>
      <c r="E312" t="s">
        <v>27</v>
      </c>
      <c r="F312" t="s">
        <v>112</v>
      </c>
      <c r="G312">
        <v>2.09</v>
      </c>
      <c r="H312">
        <v>0</v>
      </c>
      <c r="I312">
        <v>0.64</v>
      </c>
      <c r="J312">
        <v>3.88</v>
      </c>
      <c r="K312">
        <f>SUM(G312:J312)</f>
        <v>6.6099999999999994</v>
      </c>
      <c r="L312">
        <f>IF(K312&gt;20,10%,5%)</f>
        <v>0.05</v>
      </c>
      <c r="M312">
        <f>K312*L312</f>
        <v>0.33050000000000002</v>
      </c>
      <c r="N312">
        <f>LOOKUP(K312,Lookup!$A$2:$A$5,Lookup!$B$2:$B$5)</f>
        <v>0.1</v>
      </c>
      <c r="O312">
        <f>K312*N312</f>
        <v>0.66100000000000003</v>
      </c>
      <c r="P312">
        <f>K312-M312+O312</f>
        <v>6.9405000000000001</v>
      </c>
    </row>
    <row r="313" spans="1:16">
      <c r="A313">
        <v>312</v>
      </c>
      <c r="B313" t="s">
        <v>342</v>
      </c>
      <c r="C313" t="s">
        <v>51</v>
      </c>
      <c r="D313">
        <v>2005</v>
      </c>
      <c r="E313" t="s">
        <v>77</v>
      </c>
      <c r="F313" t="s">
        <v>300</v>
      </c>
      <c r="G313">
        <v>1.94</v>
      </c>
      <c r="H313">
        <v>0.31</v>
      </c>
      <c r="I313">
        <v>0.7</v>
      </c>
      <c r="J313">
        <v>3.87</v>
      </c>
      <c r="K313">
        <f>SUM(G313:J313)</f>
        <v>6.82</v>
      </c>
      <c r="L313">
        <f>IF(K313&gt;20,10%,5%)</f>
        <v>0.05</v>
      </c>
      <c r="M313">
        <f>K313*L313</f>
        <v>0.34100000000000003</v>
      </c>
      <c r="N313">
        <f>LOOKUP(K313,Lookup!$A$2:$A$5,Lookup!$B$2:$B$5)</f>
        <v>0.1</v>
      </c>
      <c r="O313">
        <f>K313*N313</f>
        <v>0.68200000000000005</v>
      </c>
      <c r="P313">
        <f>K313-M313+O313</f>
        <v>7.1610000000000005</v>
      </c>
    </row>
    <row r="314" spans="1:16">
      <c r="A314">
        <v>313</v>
      </c>
      <c r="B314" t="s">
        <v>343</v>
      </c>
      <c r="C314" t="s">
        <v>21</v>
      </c>
      <c r="D314">
        <v>1988</v>
      </c>
      <c r="E314" t="s">
        <v>27</v>
      </c>
      <c r="F314" t="s">
        <v>280</v>
      </c>
      <c r="G314">
        <v>0</v>
      </c>
      <c r="H314">
        <v>3.77</v>
      </c>
      <c r="I314">
        <v>0</v>
      </c>
      <c r="J314">
        <v>3.87</v>
      </c>
      <c r="K314">
        <f>SUM(G314:J314)</f>
        <v>7.6400000000000006</v>
      </c>
      <c r="L314">
        <f>IF(K314&gt;20,10%,5%)</f>
        <v>0.05</v>
      </c>
      <c r="M314">
        <f>K314*L314</f>
        <v>0.38200000000000006</v>
      </c>
      <c r="N314">
        <f>LOOKUP(K314,Lookup!$A$2:$A$5,Lookup!$B$2:$B$5)</f>
        <v>0.1</v>
      </c>
      <c r="O314">
        <f>K314*N314</f>
        <v>0.76400000000000012</v>
      </c>
      <c r="P314">
        <f>K314-M314+O314</f>
        <v>8.0220000000000002</v>
      </c>
    </row>
    <row r="315" spans="1:16">
      <c r="A315">
        <v>314</v>
      </c>
      <c r="B315" t="s">
        <v>344</v>
      </c>
      <c r="C315" t="s">
        <v>47</v>
      </c>
      <c r="D315">
        <v>2010</v>
      </c>
      <c r="E315" t="s">
        <v>18</v>
      </c>
      <c r="F315" t="s">
        <v>64</v>
      </c>
      <c r="G315">
        <v>1.1399999999999999</v>
      </c>
      <c r="H315">
        <v>0.1</v>
      </c>
      <c r="I315">
        <v>0.51</v>
      </c>
      <c r="J315">
        <v>3.87</v>
      </c>
      <c r="K315">
        <f>SUM(G315:J315)</f>
        <v>5.62</v>
      </c>
      <c r="L315">
        <f>IF(K315&gt;20,10%,5%)</f>
        <v>0.05</v>
      </c>
      <c r="M315">
        <f>K315*L315</f>
        <v>0.28100000000000003</v>
      </c>
      <c r="N315">
        <f>LOOKUP(K315,Lookup!$A$2:$A$5,Lookup!$B$2:$B$5)</f>
        <v>0.1</v>
      </c>
      <c r="O315">
        <f>K315*N315</f>
        <v>0.56200000000000006</v>
      </c>
      <c r="P315">
        <f>K315-M315+O315</f>
        <v>5.9010000000000007</v>
      </c>
    </row>
    <row r="316" spans="1:16">
      <c r="A316">
        <v>315</v>
      </c>
      <c r="B316" t="s">
        <v>345</v>
      </c>
      <c r="C316" t="s">
        <v>72</v>
      </c>
      <c r="D316">
        <v>2015</v>
      </c>
      <c r="E316" t="s">
        <v>18</v>
      </c>
      <c r="F316" t="s">
        <v>49</v>
      </c>
      <c r="G316">
        <v>0.65</v>
      </c>
      <c r="H316">
        <v>0.03</v>
      </c>
      <c r="I316">
        <v>0.69</v>
      </c>
      <c r="J316">
        <v>3.85</v>
      </c>
      <c r="K316">
        <f>SUM(G316:J316)</f>
        <v>5.2200000000000006</v>
      </c>
      <c r="L316">
        <f>IF(K316&gt;20,10%,5%)</f>
        <v>0.05</v>
      </c>
      <c r="M316">
        <f>K316*L316</f>
        <v>0.26100000000000007</v>
      </c>
      <c r="N316">
        <f>LOOKUP(K316,Lookup!$A$2:$A$5,Lookup!$B$2:$B$5)</f>
        <v>0.1</v>
      </c>
      <c r="O316">
        <f>K316*N316</f>
        <v>0.52200000000000013</v>
      </c>
      <c r="P316">
        <f>K316-M316+O316</f>
        <v>5.4810000000000008</v>
      </c>
    </row>
    <row r="317" spans="1:16">
      <c r="A317">
        <v>316</v>
      </c>
      <c r="B317" t="s">
        <v>346</v>
      </c>
      <c r="C317" t="s">
        <v>51</v>
      </c>
      <c r="D317">
        <v>2004</v>
      </c>
      <c r="E317" t="s">
        <v>18</v>
      </c>
      <c r="F317" t="s">
        <v>188</v>
      </c>
      <c r="G317">
        <v>1.89</v>
      </c>
      <c r="H317">
        <v>1.1200000000000001</v>
      </c>
      <c r="I317">
        <v>0.68</v>
      </c>
      <c r="J317">
        <v>3.85</v>
      </c>
      <c r="K317">
        <f>SUM(G317:J317)</f>
        <v>7.54</v>
      </c>
      <c r="L317">
        <f>IF(K317&gt;20,10%,5%)</f>
        <v>0.05</v>
      </c>
      <c r="M317">
        <f>K317*L317</f>
        <v>0.377</v>
      </c>
      <c r="N317">
        <f>LOOKUP(K317,Lookup!$A$2:$A$5,Lookup!$B$2:$B$5)</f>
        <v>0.1</v>
      </c>
      <c r="O317">
        <f>K317*N317</f>
        <v>0.754</v>
      </c>
      <c r="P317">
        <f>K317-M317+O317</f>
        <v>7.9169999999999998</v>
      </c>
    </row>
    <row r="318" spans="1:16">
      <c r="A318">
        <v>317</v>
      </c>
      <c r="B318" t="s">
        <v>347</v>
      </c>
      <c r="C318" t="s">
        <v>31</v>
      </c>
      <c r="D318">
        <v>2007</v>
      </c>
      <c r="E318" t="s">
        <v>33</v>
      </c>
      <c r="F318" t="s">
        <v>19</v>
      </c>
      <c r="G318">
        <v>1.57</v>
      </c>
      <c r="H318">
        <v>1.05</v>
      </c>
      <c r="I318">
        <v>0.35</v>
      </c>
      <c r="J318">
        <v>3.84</v>
      </c>
      <c r="K318">
        <f>SUM(G318:J318)</f>
        <v>6.8100000000000005</v>
      </c>
      <c r="L318">
        <f>IF(K318&gt;20,10%,5%)</f>
        <v>0.05</v>
      </c>
      <c r="M318">
        <f>K318*L318</f>
        <v>0.34050000000000002</v>
      </c>
      <c r="N318">
        <f>LOOKUP(K318,Lookup!$A$2:$A$5,Lookup!$B$2:$B$5)</f>
        <v>0.1</v>
      </c>
      <c r="O318">
        <f>K318*N318</f>
        <v>0.68100000000000005</v>
      </c>
      <c r="P318">
        <f>K318-M318+O318</f>
        <v>7.1505000000000001</v>
      </c>
    </row>
    <row r="319" spans="1:16">
      <c r="A319">
        <v>318</v>
      </c>
      <c r="B319" t="s">
        <v>348</v>
      </c>
      <c r="C319" t="s">
        <v>91</v>
      </c>
      <c r="D319">
        <v>1995</v>
      </c>
      <c r="E319" t="s">
        <v>33</v>
      </c>
      <c r="F319" t="s">
        <v>64</v>
      </c>
      <c r="G319">
        <v>1.44</v>
      </c>
      <c r="H319">
        <v>0.22</v>
      </c>
      <c r="I319">
        <v>0.06</v>
      </c>
      <c r="J319">
        <v>3.84</v>
      </c>
      <c r="K319">
        <f>SUM(G319:J319)</f>
        <v>5.56</v>
      </c>
      <c r="L319">
        <f>IF(K319&gt;20,10%,5%)</f>
        <v>0.05</v>
      </c>
      <c r="M319">
        <f>K319*L319</f>
        <v>0.27799999999999997</v>
      </c>
      <c r="N319">
        <f>LOOKUP(K319,Lookup!$A$2:$A$5,Lookup!$B$2:$B$5)</f>
        <v>0.1</v>
      </c>
      <c r="O319">
        <f>K319*N319</f>
        <v>0.55599999999999994</v>
      </c>
      <c r="P319">
        <f>K319-M319+O319</f>
        <v>5.8380000000000001</v>
      </c>
    </row>
    <row r="320" spans="1:16">
      <c r="A320">
        <v>319</v>
      </c>
      <c r="B320" t="s">
        <v>349</v>
      </c>
      <c r="C320" t="s">
        <v>26</v>
      </c>
      <c r="D320">
        <v>1992</v>
      </c>
      <c r="E320" t="s">
        <v>48</v>
      </c>
      <c r="F320" t="s">
        <v>19</v>
      </c>
      <c r="G320">
        <v>0.96</v>
      </c>
      <c r="H320">
        <v>0.54</v>
      </c>
      <c r="I320">
        <v>0.13</v>
      </c>
      <c r="J320">
        <v>3.83</v>
      </c>
      <c r="K320">
        <f>SUM(G320:J320)</f>
        <v>5.46</v>
      </c>
      <c r="L320">
        <f>IF(K320&gt;20,10%,5%)</f>
        <v>0.05</v>
      </c>
      <c r="M320">
        <f>K320*L320</f>
        <v>0.27300000000000002</v>
      </c>
      <c r="N320">
        <f>LOOKUP(K320,Lookup!$A$2:$A$5,Lookup!$B$2:$B$5)</f>
        <v>0.1</v>
      </c>
      <c r="O320">
        <f>K320*N320</f>
        <v>0.54600000000000004</v>
      </c>
      <c r="P320">
        <f>K320-M320+O320</f>
        <v>5.7330000000000005</v>
      </c>
    </row>
    <row r="321" spans="1:16">
      <c r="A321">
        <v>320</v>
      </c>
      <c r="B321" t="s">
        <v>350</v>
      </c>
      <c r="C321" t="s">
        <v>31</v>
      </c>
      <c r="D321">
        <v>2009</v>
      </c>
      <c r="E321" t="s">
        <v>27</v>
      </c>
      <c r="F321" t="s">
        <v>19</v>
      </c>
      <c r="G321">
        <v>0.48</v>
      </c>
      <c r="H321">
        <v>0.81</v>
      </c>
      <c r="I321">
        <v>0.27</v>
      </c>
      <c r="J321">
        <v>3.83</v>
      </c>
      <c r="K321">
        <f>SUM(G321:J321)</f>
        <v>5.3900000000000006</v>
      </c>
      <c r="L321">
        <f>IF(K321&gt;20,10%,5%)</f>
        <v>0.05</v>
      </c>
      <c r="M321">
        <f>K321*L321</f>
        <v>0.26950000000000002</v>
      </c>
      <c r="N321">
        <f>LOOKUP(K321,Lookup!$A$2:$A$5,Lookup!$B$2:$B$5)</f>
        <v>0.1</v>
      </c>
      <c r="O321">
        <f>K321*N321</f>
        <v>0.53900000000000003</v>
      </c>
      <c r="P321">
        <f>K321-M321+O321</f>
        <v>5.6595000000000004</v>
      </c>
    </row>
    <row r="322" spans="1:16">
      <c r="A322">
        <v>321</v>
      </c>
      <c r="B322" t="s">
        <v>351</v>
      </c>
      <c r="C322" t="s">
        <v>17</v>
      </c>
      <c r="D322">
        <v>2007</v>
      </c>
      <c r="E322" t="s">
        <v>33</v>
      </c>
      <c r="F322" t="s">
        <v>19</v>
      </c>
      <c r="G322">
        <v>1.93</v>
      </c>
      <c r="H322">
        <v>0.41</v>
      </c>
      <c r="I322">
        <v>0.43</v>
      </c>
      <c r="J322">
        <v>3.82</v>
      </c>
      <c r="K322">
        <f>SUM(G322:J322)</f>
        <v>6.59</v>
      </c>
      <c r="L322">
        <f>IF(K322&gt;20,10%,5%)</f>
        <v>0.05</v>
      </c>
      <c r="M322">
        <f>K322*L322</f>
        <v>0.32950000000000002</v>
      </c>
      <c r="N322">
        <f>LOOKUP(K322,Lookup!$A$2:$A$5,Lookup!$B$2:$B$5)</f>
        <v>0.1</v>
      </c>
      <c r="O322">
        <f>K322*N322</f>
        <v>0.65900000000000003</v>
      </c>
      <c r="P322">
        <f>K322-M322+O322</f>
        <v>6.9194999999999993</v>
      </c>
    </row>
    <row r="323" spans="1:16">
      <c r="A323">
        <v>322</v>
      </c>
      <c r="B323" t="s">
        <v>352</v>
      </c>
      <c r="C323" t="s">
        <v>70</v>
      </c>
      <c r="D323">
        <v>2011</v>
      </c>
      <c r="E323" t="s">
        <v>38</v>
      </c>
      <c r="F323" t="s">
        <v>19</v>
      </c>
      <c r="G323">
        <v>1.37</v>
      </c>
      <c r="H323">
        <v>0.73</v>
      </c>
      <c r="I323">
        <v>0.27</v>
      </c>
      <c r="J323">
        <v>3.81</v>
      </c>
      <c r="K323">
        <f>SUM(G323:J323)</f>
        <v>6.18</v>
      </c>
      <c r="L323">
        <f>IF(K323&gt;20,10%,5%)</f>
        <v>0.05</v>
      </c>
      <c r="M323">
        <f>K323*L323</f>
        <v>0.309</v>
      </c>
      <c r="N323">
        <f>LOOKUP(K323,Lookup!$A$2:$A$5,Lookup!$B$2:$B$5)</f>
        <v>0.1</v>
      </c>
      <c r="O323">
        <f>K323*N323</f>
        <v>0.61799999999999999</v>
      </c>
      <c r="P323">
        <f>K323-M323+O323</f>
        <v>6.4889999999999999</v>
      </c>
    </row>
    <row r="324" spans="1:16">
      <c r="A324">
        <v>323</v>
      </c>
      <c r="B324" t="s">
        <v>353</v>
      </c>
      <c r="C324" t="s">
        <v>72</v>
      </c>
      <c r="D324">
        <v>2015</v>
      </c>
      <c r="E324" t="s">
        <v>48</v>
      </c>
      <c r="F324" t="s">
        <v>210</v>
      </c>
      <c r="G324">
        <v>1.58</v>
      </c>
      <c r="H324">
        <v>0.1</v>
      </c>
      <c r="I324">
        <v>0.61</v>
      </c>
      <c r="J324">
        <v>3.79</v>
      </c>
      <c r="K324">
        <f>SUM(G324:J324)</f>
        <v>6.08</v>
      </c>
      <c r="L324">
        <f>IF(K324&gt;20,10%,5%)</f>
        <v>0.05</v>
      </c>
      <c r="M324">
        <f>K324*L324</f>
        <v>0.30400000000000005</v>
      </c>
      <c r="N324">
        <f>LOOKUP(K324,Lookup!$A$2:$A$5,Lookup!$B$2:$B$5)</f>
        <v>0.1</v>
      </c>
      <c r="O324">
        <f>K324*N324</f>
        <v>0.6080000000000001</v>
      </c>
      <c r="P324">
        <f>K324-M324+O324</f>
        <v>6.3840000000000003</v>
      </c>
    </row>
    <row r="325" spans="1:16">
      <c r="A325">
        <v>324</v>
      </c>
      <c r="B325" t="s">
        <v>354</v>
      </c>
      <c r="C325" t="s">
        <v>17</v>
      </c>
      <c r="D325">
        <v>2011</v>
      </c>
      <c r="E325" t="s">
        <v>18</v>
      </c>
      <c r="F325" t="s">
        <v>126</v>
      </c>
      <c r="G325">
        <v>1.91</v>
      </c>
      <c r="H325">
        <v>0.27</v>
      </c>
      <c r="I325">
        <v>0.46</v>
      </c>
      <c r="J325">
        <v>3.78</v>
      </c>
      <c r="K325">
        <f>SUM(G325:J325)</f>
        <v>6.42</v>
      </c>
      <c r="L325">
        <f>IF(K325&gt;20,10%,5%)</f>
        <v>0.05</v>
      </c>
      <c r="M325">
        <f>K325*L325</f>
        <v>0.32100000000000001</v>
      </c>
      <c r="N325">
        <f>LOOKUP(K325,Lookup!$A$2:$A$5,Lookup!$B$2:$B$5)</f>
        <v>0.1</v>
      </c>
      <c r="O325">
        <f>K325*N325</f>
        <v>0.64200000000000002</v>
      </c>
      <c r="P325">
        <f>K325-M325+O325</f>
        <v>6.7410000000000005</v>
      </c>
    </row>
    <row r="326" spans="1:16">
      <c r="A326">
        <v>325</v>
      </c>
      <c r="B326" t="s">
        <v>355</v>
      </c>
      <c r="C326" t="s">
        <v>44</v>
      </c>
      <c r="D326">
        <v>2008</v>
      </c>
      <c r="E326" t="s">
        <v>48</v>
      </c>
      <c r="F326" t="s">
        <v>66</v>
      </c>
      <c r="G326">
        <v>1.03</v>
      </c>
      <c r="H326">
        <v>0</v>
      </c>
      <c r="I326">
        <v>0.36</v>
      </c>
      <c r="J326">
        <v>3.78</v>
      </c>
      <c r="K326">
        <f>SUM(G326:J326)</f>
        <v>5.17</v>
      </c>
      <c r="L326">
        <f>IF(K326&gt;20,10%,5%)</f>
        <v>0.05</v>
      </c>
      <c r="M326">
        <f>K326*L326</f>
        <v>0.25850000000000001</v>
      </c>
      <c r="N326">
        <f>LOOKUP(K326,Lookup!$A$2:$A$5,Lookup!$B$2:$B$5)</f>
        <v>0.1</v>
      </c>
      <c r="O326">
        <f>K326*N326</f>
        <v>0.51700000000000002</v>
      </c>
      <c r="P326">
        <f>K326-M326+O326</f>
        <v>5.4285000000000005</v>
      </c>
    </row>
    <row r="327" spans="1:16">
      <c r="A327">
        <v>326</v>
      </c>
      <c r="B327" t="s">
        <v>356</v>
      </c>
      <c r="C327" t="s">
        <v>91</v>
      </c>
      <c r="D327">
        <v>1996</v>
      </c>
      <c r="E327" t="s">
        <v>48</v>
      </c>
      <c r="F327" t="s">
        <v>202</v>
      </c>
      <c r="G327">
        <v>1.24</v>
      </c>
      <c r="H327">
        <v>0.47</v>
      </c>
      <c r="I327">
        <v>0.25</v>
      </c>
      <c r="J327">
        <v>3.77</v>
      </c>
      <c r="K327">
        <f>SUM(G327:J327)</f>
        <v>5.73</v>
      </c>
      <c r="L327">
        <f>IF(K327&gt;20,10%,5%)</f>
        <v>0.05</v>
      </c>
      <c r="M327">
        <f>K327*L327</f>
        <v>0.28650000000000003</v>
      </c>
      <c r="N327">
        <f>LOOKUP(K327,Lookup!$A$2:$A$5,Lookup!$B$2:$B$5)</f>
        <v>0.1</v>
      </c>
      <c r="O327">
        <f>K327*N327</f>
        <v>0.57300000000000006</v>
      </c>
      <c r="P327">
        <f>K327-M327+O327</f>
        <v>6.0165000000000006</v>
      </c>
    </row>
    <row r="328" spans="1:16">
      <c r="A328">
        <v>327</v>
      </c>
      <c r="B328" t="s">
        <v>357</v>
      </c>
      <c r="C328" t="s">
        <v>134</v>
      </c>
      <c r="D328">
        <v>2007</v>
      </c>
      <c r="E328" t="s">
        <v>2</v>
      </c>
      <c r="F328" t="s">
        <v>64</v>
      </c>
      <c r="G328">
        <v>1.4</v>
      </c>
      <c r="H328">
        <v>0.1</v>
      </c>
      <c r="I328">
        <v>0.87</v>
      </c>
      <c r="J328">
        <v>3.77</v>
      </c>
      <c r="K328">
        <f>SUM(G328:J328)</f>
        <v>6.1400000000000006</v>
      </c>
      <c r="L328">
        <f>IF(K328&gt;20,10%,5%)</f>
        <v>0.05</v>
      </c>
      <c r="M328">
        <f>K328*L328</f>
        <v>0.30700000000000005</v>
      </c>
      <c r="N328">
        <f>LOOKUP(K328,Lookup!$A$2:$A$5,Lookup!$B$2:$B$5)</f>
        <v>0.1</v>
      </c>
      <c r="O328">
        <f>K328*N328</f>
        <v>0.6140000000000001</v>
      </c>
      <c r="P328">
        <f>K328-M328+O328</f>
        <v>6.4470000000000001</v>
      </c>
    </row>
    <row r="329" spans="1:16">
      <c r="A329">
        <v>328</v>
      </c>
      <c r="B329" t="s">
        <v>358</v>
      </c>
      <c r="C329" t="s">
        <v>17</v>
      </c>
      <c r="D329">
        <v>2013</v>
      </c>
      <c r="E329" t="s">
        <v>33</v>
      </c>
      <c r="F329" t="s">
        <v>97</v>
      </c>
      <c r="G329">
        <v>1.47</v>
      </c>
      <c r="H329">
        <v>0</v>
      </c>
      <c r="I329">
        <v>0.32</v>
      </c>
      <c r="J329">
        <v>3.76</v>
      </c>
      <c r="K329">
        <f>SUM(G329:J329)</f>
        <v>5.55</v>
      </c>
      <c r="L329">
        <f>IF(K329&gt;20,10%,5%)</f>
        <v>0.05</v>
      </c>
      <c r="M329">
        <f>K329*L329</f>
        <v>0.27750000000000002</v>
      </c>
      <c r="N329">
        <f>LOOKUP(K329,Lookup!$A$2:$A$5,Lookup!$B$2:$B$5)</f>
        <v>0.1</v>
      </c>
      <c r="O329">
        <f>K329*N329</f>
        <v>0.55500000000000005</v>
      </c>
      <c r="P329">
        <f>K329-M329+O329</f>
        <v>5.8274999999999997</v>
      </c>
    </row>
    <row r="330" spans="1:16">
      <c r="A330">
        <v>329</v>
      </c>
      <c r="B330" t="s">
        <v>359</v>
      </c>
      <c r="C330" t="s">
        <v>123</v>
      </c>
      <c r="D330">
        <v>2002</v>
      </c>
      <c r="E330" t="s">
        <v>38</v>
      </c>
      <c r="F330" t="s">
        <v>115</v>
      </c>
      <c r="G330">
        <v>1.56</v>
      </c>
      <c r="H330">
        <v>0</v>
      </c>
      <c r="I330">
        <v>0.17</v>
      </c>
      <c r="J330">
        <v>3.76</v>
      </c>
      <c r="K330">
        <f>SUM(G330:J330)</f>
        <v>5.49</v>
      </c>
      <c r="L330">
        <f>IF(K330&gt;20,10%,5%)</f>
        <v>0.05</v>
      </c>
      <c r="M330">
        <f>K330*L330</f>
        <v>0.27450000000000002</v>
      </c>
      <c r="N330">
        <f>LOOKUP(K330,Lookup!$A$2:$A$5,Lookup!$B$2:$B$5)</f>
        <v>0.1</v>
      </c>
      <c r="O330">
        <f>K330*N330</f>
        <v>0.54900000000000004</v>
      </c>
      <c r="P330">
        <f>K330-M330+O330</f>
        <v>5.7645000000000008</v>
      </c>
    </row>
    <row r="331" spans="1:16">
      <c r="A331">
        <v>330</v>
      </c>
      <c r="B331" t="s">
        <v>360</v>
      </c>
      <c r="C331" t="s">
        <v>17</v>
      </c>
      <c r="D331">
        <v>2007</v>
      </c>
      <c r="E331" t="s">
        <v>2</v>
      </c>
      <c r="F331" t="s">
        <v>19</v>
      </c>
      <c r="G331">
        <v>0.88</v>
      </c>
      <c r="H331">
        <v>0.59</v>
      </c>
      <c r="I331">
        <v>0.32</v>
      </c>
      <c r="J331">
        <v>3.76</v>
      </c>
      <c r="K331">
        <f>SUM(G331:J331)</f>
        <v>5.55</v>
      </c>
      <c r="L331">
        <f>IF(K331&gt;20,10%,5%)</f>
        <v>0.05</v>
      </c>
      <c r="M331">
        <f>K331*L331</f>
        <v>0.27750000000000002</v>
      </c>
      <c r="N331">
        <f>LOOKUP(K331,Lookup!$A$2:$A$5,Lookup!$B$2:$B$5)</f>
        <v>0.1</v>
      </c>
      <c r="O331">
        <f>K331*N331</f>
        <v>0.55500000000000005</v>
      </c>
      <c r="P331">
        <f>K331-M331+O331</f>
        <v>5.8274999999999997</v>
      </c>
    </row>
    <row r="332" spans="1:16">
      <c r="A332">
        <v>331</v>
      </c>
      <c r="B332" t="s">
        <v>361</v>
      </c>
      <c r="C332" t="s">
        <v>91</v>
      </c>
      <c r="D332">
        <v>2001</v>
      </c>
      <c r="E332" t="s">
        <v>48</v>
      </c>
      <c r="F332" t="s">
        <v>115</v>
      </c>
      <c r="G332">
        <v>2</v>
      </c>
      <c r="H332">
        <v>0.14000000000000001</v>
      </c>
      <c r="I332">
        <v>0.22</v>
      </c>
      <c r="J332">
        <v>3.73</v>
      </c>
      <c r="K332">
        <f>SUM(G332:J332)</f>
        <v>6.09</v>
      </c>
      <c r="L332">
        <f>IF(K332&gt;20,10%,5%)</f>
        <v>0.05</v>
      </c>
      <c r="M332">
        <f>K332*L332</f>
        <v>0.30449999999999999</v>
      </c>
      <c r="N332">
        <f>LOOKUP(K332,Lookup!$A$2:$A$5,Lookup!$B$2:$B$5)</f>
        <v>0.1</v>
      </c>
      <c r="O332">
        <f>K332*N332</f>
        <v>0.60899999999999999</v>
      </c>
      <c r="P332">
        <f>K332-M332+O332</f>
        <v>6.3944999999999999</v>
      </c>
    </row>
    <row r="333" spans="1:16">
      <c r="A333">
        <v>332</v>
      </c>
      <c r="B333" t="s">
        <v>362</v>
      </c>
      <c r="C333" t="s">
        <v>72</v>
      </c>
      <c r="D333">
        <v>2015</v>
      </c>
      <c r="E333" t="s">
        <v>27</v>
      </c>
      <c r="F333" t="s">
        <v>300</v>
      </c>
      <c r="G333">
        <v>2</v>
      </c>
      <c r="H333">
        <v>0.21</v>
      </c>
      <c r="I333">
        <v>0.56000000000000005</v>
      </c>
      <c r="J333">
        <v>3.73</v>
      </c>
      <c r="K333">
        <f>SUM(G333:J333)</f>
        <v>6.5</v>
      </c>
      <c r="L333">
        <f>IF(K333&gt;20,10%,5%)</f>
        <v>0.05</v>
      </c>
      <c r="M333">
        <f>K333*L333</f>
        <v>0.32500000000000001</v>
      </c>
      <c r="N333">
        <f>LOOKUP(K333,Lookup!$A$2:$A$5,Lookup!$B$2:$B$5)</f>
        <v>0.1</v>
      </c>
      <c r="O333">
        <f>K333*N333</f>
        <v>0.65</v>
      </c>
      <c r="P333">
        <f>K333-M333+O333</f>
        <v>6.8250000000000002</v>
      </c>
    </row>
    <row r="334" spans="1:16">
      <c r="A334">
        <v>333</v>
      </c>
      <c r="B334" t="s">
        <v>363</v>
      </c>
      <c r="C334" t="s">
        <v>91</v>
      </c>
      <c r="D334">
        <v>1999</v>
      </c>
      <c r="E334" t="s">
        <v>48</v>
      </c>
      <c r="F334" t="s">
        <v>227</v>
      </c>
      <c r="G334">
        <v>0.77</v>
      </c>
      <c r="H334">
        <v>1.54</v>
      </c>
      <c r="I334">
        <v>0.11</v>
      </c>
      <c r="J334">
        <v>3.72</v>
      </c>
      <c r="K334">
        <f>SUM(G334:J334)</f>
        <v>6.1400000000000006</v>
      </c>
      <c r="L334">
        <f>IF(K334&gt;20,10%,5%)</f>
        <v>0.05</v>
      </c>
      <c r="M334">
        <f>K334*L334</f>
        <v>0.30700000000000005</v>
      </c>
      <c r="N334">
        <f>LOOKUP(K334,Lookup!$A$2:$A$5,Lookup!$B$2:$B$5)</f>
        <v>0.1</v>
      </c>
      <c r="O334">
        <f>K334*N334</f>
        <v>0.6140000000000001</v>
      </c>
      <c r="P334">
        <f>K334-M334+O334</f>
        <v>6.4470000000000001</v>
      </c>
    </row>
    <row r="335" spans="1:16">
      <c r="A335">
        <v>334</v>
      </c>
      <c r="B335" t="s">
        <v>364</v>
      </c>
      <c r="C335" t="s">
        <v>91</v>
      </c>
      <c r="D335">
        <v>2000</v>
      </c>
      <c r="E335" t="s">
        <v>2</v>
      </c>
      <c r="F335" t="s">
        <v>64</v>
      </c>
      <c r="G335">
        <v>1.58</v>
      </c>
      <c r="H335">
        <v>0</v>
      </c>
      <c r="I335">
        <v>0.19</v>
      </c>
      <c r="J335">
        <v>3.71</v>
      </c>
      <c r="K335">
        <f>SUM(G335:J335)</f>
        <v>5.48</v>
      </c>
      <c r="L335">
        <f>IF(K335&gt;20,10%,5%)</f>
        <v>0.05</v>
      </c>
      <c r="M335">
        <f>K335*L335</f>
        <v>0.27400000000000002</v>
      </c>
      <c r="N335">
        <f>LOOKUP(K335,Lookup!$A$2:$A$5,Lookup!$B$2:$B$5)</f>
        <v>0.1</v>
      </c>
      <c r="O335">
        <f>K335*N335</f>
        <v>0.54800000000000004</v>
      </c>
      <c r="P335">
        <f>K335-M335+O335</f>
        <v>5.7540000000000004</v>
      </c>
    </row>
    <row r="336" spans="1:16">
      <c r="A336">
        <v>335</v>
      </c>
      <c r="B336" t="s">
        <v>365</v>
      </c>
      <c r="C336" t="s">
        <v>51</v>
      </c>
      <c r="D336">
        <v>2004</v>
      </c>
      <c r="E336" t="s">
        <v>18</v>
      </c>
      <c r="F336" t="s">
        <v>115</v>
      </c>
      <c r="G336">
        <v>2.48</v>
      </c>
      <c r="H336">
        <v>0.04</v>
      </c>
      <c r="I336">
        <v>0.59</v>
      </c>
      <c r="J336">
        <v>3.7</v>
      </c>
      <c r="K336">
        <f>SUM(G336:J336)</f>
        <v>6.8100000000000005</v>
      </c>
      <c r="L336">
        <f>IF(K336&gt;20,10%,5%)</f>
        <v>0.05</v>
      </c>
      <c r="M336">
        <f>K336*L336</f>
        <v>0.34050000000000002</v>
      </c>
      <c r="N336">
        <f>LOOKUP(K336,Lookup!$A$2:$A$5,Lookup!$B$2:$B$5)</f>
        <v>0.1</v>
      </c>
      <c r="O336">
        <f>K336*N336</f>
        <v>0.68100000000000005</v>
      </c>
      <c r="P336">
        <f>K336-M336+O336</f>
        <v>7.1505000000000001</v>
      </c>
    </row>
    <row r="337" spans="1:16">
      <c r="A337">
        <v>336</v>
      </c>
      <c r="B337" t="s">
        <v>366</v>
      </c>
      <c r="C337" t="s">
        <v>26</v>
      </c>
      <c r="D337">
        <v>1998</v>
      </c>
      <c r="E337" t="s">
        <v>216</v>
      </c>
      <c r="F337" t="s">
        <v>19</v>
      </c>
      <c r="G337">
        <v>0.73</v>
      </c>
      <c r="H337">
        <v>1.38</v>
      </c>
      <c r="I337">
        <v>0.1</v>
      </c>
      <c r="J337">
        <v>3.7</v>
      </c>
      <c r="K337">
        <f>SUM(G337:J337)</f>
        <v>5.91</v>
      </c>
      <c r="L337">
        <f>IF(K337&gt;20,10%,5%)</f>
        <v>0.05</v>
      </c>
      <c r="M337">
        <f>K337*L337</f>
        <v>0.29550000000000004</v>
      </c>
      <c r="N337">
        <f>LOOKUP(K337,Lookup!$A$2:$A$5,Lookup!$B$2:$B$5)</f>
        <v>0.1</v>
      </c>
      <c r="O337">
        <f>K337*N337</f>
        <v>0.59100000000000008</v>
      </c>
      <c r="P337">
        <f>K337-M337+O337</f>
        <v>6.2055000000000007</v>
      </c>
    </row>
    <row r="338" spans="1:16">
      <c r="A338">
        <v>337</v>
      </c>
      <c r="B338" t="s">
        <v>367</v>
      </c>
      <c r="C338" t="s">
        <v>47</v>
      </c>
      <c r="D338">
        <v>2013</v>
      </c>
      <c r="E338" t="s">
        <v>36</v>
      </c>
      <c r="F338" t="s">
        <v>115</v>
      </c>
      <c r="G338">
        <v>1.51</v>
      </c>
      <c r="H338">
        <v>0.27</v>
      </c>
      <c r="I338">
        <v>0.61</v>
      </c>
      <c r="J338">
        <v>3.69</v>
      </c>
      <c r="K338">
        <f>SUM(G338:J338)</f>
        <v>6.08</v>
      </c>
      <c r="L338">
        <f>IF(K338&gt;20,10%,5%)</f>
        <v>0.05</v>
      </c>
      <c r="M338">
        <f>K338*L338</f>
        <v>0.30400000000000005</v>
      </c>
      <c r="N338">
        <f>LOOKUP(K338,Lookup!$A$2:$A$5,Lookup!$B$2:$B$5)</f>
        <v>0.1</v>
      </c>
      <c r="O338">
        <f>K338*N338</f>
        <v>0.6080000000000001</v>
      </c>
      <c r="P338">
        <f>K338-M338+O338</f>
        <v>6.3840000000000003</v>
      </c>
    </row>
    <row r="339" spans="1:16">
      <c r="A339">
        <v>338</v>
      </c>
      <c r="B339" t="s">
        <v>368</v>
      </c>
      <c r="C339" t="s">
        <v>31</v>
      </c>
      <c r="D339">
        <v>2007</v>
      </c>
      <c r="E339" t="s">
        <v>38</v>
      </c>
      <c r="F339" t="s">
        <v>115</v>
      </c>
      <c r="G339">
        <v>1.61</v>
      </c>
      <c r="H339">
        <v>0.08</v>
      </c>
      <c r="I339">
        <v>0.41</v>
      </c>
      <c r="J339">
        <v>3.69</v>
      </c>
      <c r="K339">
        <f>SUM(G339:J339)</f>
        <v>5.79</v>
      </c>
      <c r="L339">
        <f>IF(K339&gt;20,10%,5%)</f>
        <v>0.05</v>
      </c>
      <c r="M339">
        <f>K339*L339</f>
        <v>0.28950000000000004</v>
      </c>
      <c r="N339">
        <f>LOOKUP(K339,Lookup!$A$2:$A$5,Lookup!$B$2:$B$5)</f>
        <v>0.1</v>
      </c>
      <c r="O339">
        <f>K339*N339</f>
        <v>0.57900000000000007</v>
      </c>
      <c r="P339">
        <f>K339-M339+O339</f>
        <v>6.0794999999999995</v>
      </c>
    </row>
    <row r="340" spans="1:16">
      <c r="A340">
        <v>339</v>
      </c>
      <c r="B340" t="s">
        <v>369</v>
      </c>
      <c r="C340" t="s">
        <v>31</v>
      </c>
      <c r="D340">
        <v>2009</v>
      </c>
      <c r="E340" t="s">
        <v>33</v>
      </c>
      <c r="F340" t="s">
        <v>19</v>
      </c>
      <c r="G340">
        <v>0</v>
      </c>
      <c r="H340">
        <v>3.67</v>
      </c>
      <c r="I340">
        <v>0</v>
      </c>
      <c r="J340">
        <v>3.67</v>
      </c>
      <c r="K340">
        <f>SUM(G340:J340)</f>
        <v>7.34</v>
      </c>
      <c r="L340">
        <f>IF(K340&gt;20,10%,5%)</f>
        <v>0.05</v>
      </c>
      <c r="M340">
        <f>K340*L340</f>
        <v>0.36699999999999999</v>
      </c>
      <c r="N340">
        <f>LOOKUP(K340,Lookup!$A$2:$A$5,Lookup!$B$2:$B$5)</f>
        <v>0.1</v>
      </c>
      <c r="O340">
        <f>K340*N340</f>
        <v>0.73399999999999999</v>
      </c>
      <c r="P340">
        <f>K340-M340+O340</f>
        <v>7.7069999999999999</v>
      </c>
    </row>
    <row r="341" spans="1:16">
      <c r="A341">
        <v>340</v>
      </c>
      <c r="B341" t="s">
        <v>370</v>
      </c>
      <c r="C341" t="s">
        <v>51</v>
      </c>
      <c r="D341">
        <v>2002</v>
      </c>
      <c r="E341" t="s">
        <v>18</v>
      </c>
      <c r="F341" t="s">
        <v>66</v>
      </c>
      <c r="G341">
        <v>1.18</v>
      </c>
      <c r="H341">
        <v>0.01</v>
      </c>
      <c r="I341">
        <v>0.35</v>
      </c>
      <c r="J341">
        <v>3.67</v>
      </c>
      <c r="K341">
        <f>SUM(G341:J341)</f>
        <v>5.21</v>
      </c>
      <c r="L341">
        <f>IF(K341&gt;20,10%,5%)</f>
        <v>0.05</v>
      </c>
      <c r="M341">
        <f>K341*L341</f>
        <v>0.26050000000000001</v>
      </c>
      <c r="N341">
        <f>LOOKUP(K341,Lookup!$A$2:$A$5,Lookup!$B$2:$B$5)</f>
        <v>0.1</v>
      </c>
      <c r="O341">
        <f>K341*N341</f>
        <v>0.52100000000000002</v>
      </c>
      <c r="P341">
        <f>K341-M341+O341</f>
        <v>5.4704999999999995</v>
      </c>
    </row>
    <row r="342" spans="1:16">
      <c r="A342">
        <v>341</v>
      </c>
      <c r="B342" t="s">
        <v>371</v>
      </c>
      <c r="C342" t="s">
        <v>134</v>
      </c>
      <c r="D342">
        <v>2005</v>
      </c>
      <c r="E342" t="s">
        <v>23</v>
      </c>
      <c r="F342" t="s">
        <v>49</v>
      </c>
      <c r="G342">
        <v>1.22</v>
      </c>
      <c r="H342">
        <v>0</v>
      </c>
      <c r="I342">
        <v>0.79</v>
      </c>
      <c r="J342">
        <v>3.66</v>
      </c>
      <c r="K342">
        <f>SUM(G342:J342)</f>
        <v>5.67</v>
      </c>
      <c r="L342">
        <f>IF(K342&gt;20,10%,5%)</f>
        <v>0.05</v>
      </c>
      <c r="M342">
        <f>K342*L342</f>
        <v>0.28350000000000003</v>
      </c>
      <c r="N342">
        <f>LOOKUP(K342,Lookup!$A$2:$A$5,Lookup!$B$2:$B$5)</f>
        <v>0.1</v>
      </c>
      <c r="O342">
        <f>K342*N342</f>
        <v>0.56700000000000006</v>
      </c>
      <c r="P342">
        <f>K342-M342+O342</f>
        <v>5.9535</v>
      </c>
    </row>
    <row r="343" spans="1:16">
      <c r="A343">
        <v>342</v>
      </c>
      <c r="B343" t="s">
        <v>372</v>
      </c>
      <c r="C343" t="s">
        <v>83</v>
      </c>
      <c r="D343">
        <v>1998</v>
      </c>
      <c r="E343" t="s">
        <v>2</v>
      </c>
      <c r="F343" t="s">
        <v>19</v>
      </c>
      <c r="G343">
        <v>1.1299999999999999</v>
      </c>
      <c r="H343">
        <v>0.55000000000000004</v>
      </c>
      <c r="I343">
        <v>0.1</v>
      </c>
      <c r="J343">
        <v>3.65</v>
      </c>
      <c r="K343">
        <f>SUM(G343:J343)</f>
        <v>5.43</v>
      </c>
      <c r="L343">
        <f>IF(K343&gt;20,10%,5%)</f>
        <v>0.05</v>
      </c>
      <c r="M343">
        <f>K343*L343</f>
        <v>0.27150000000000002</v>
      </c>
      <c r="N343">
        <f>LOOKUP(K343,Lookup!$A$2:$A$5,Lookup!$B$2:$B$5)</f>
        <v>0.1</v>
      </c>
      <c r="O343">
        <f>K343*N343</f>
        <v>0.54300000000000004</v>
      </c>
      <c r="P343">
        <f>K343-M343+O343</f>
        <v>5.7015000000000002</v>
      </c>
    </row>
    <row r="344" spans="1:16">
      <c r="A344">
        <v>343</v>
      </c>
      <c r="B344" t="s">
        <v>373</v>
      </c>
      <c r="C344" t="s">
        <v>51</v>
      </c>
      <c r="D344">
        <v>2002</v>
      </c>
      <c r="E344" t="s">
        <v>36</v>
      </c>
      <c r="F344" t="s">
        <v>64</v>
      </c>
      <c r="G344">
        <v>0.81</v>
      </c>
      <c r="H344">
        <v>0.06</v>
      </c>
      <c r="I344">
        <v>0.24</v>
      </c>
      <c r="J344">
        <v>3.65</v>
      </c>
      <c r="K344">
        <f>SUM(G344:J344)</f>
        <v>4.76</v>
      </c>
      <c r="L344">
        <f>IF(K344&gt;20,10%,5%)</f>
        <v>0.05</v>
      </c>
      <c r="M344">
        <f>K344*L344</f>
        <v>0.23799999999999999</v>
      </c>
      <c r="N344">
        <f>LOOKUP(K344,Lookup!$A$2:$A$5,Lookup!$B$2:$B$5)</f>
        <v>0.1</v>
      </c>
      <c r="O344">
        <f>K344*N344</f>
        <v>0.47599999999999998</v>
      </c>
      <c r="P344">
        <f>K344-M344+O344</f>
        <v>4.9980000000000002</v>
      </c>
    </row>
    <row r="345" spans="1:16">
      <c r="A345">
        <v>344</v>
      </c>
      <c r="B345" t="s">
        <v>374</v>
      </c>
      <c r="C345" t="s">
        <v>17</v>
      </c>
      <c r="D345">
        <v>2008</v>
      </c>
      <c r="E345" t="s">
        <v>33</v>
      </c>
      <c r="F345" t="s">
        <v>66</v>
      </c>
      <c r="G345">
        <v>0.97</v>
      </c>
      <c r="H345">
        <v>0</v>
      </c>
      <c r="I345">
        <v>0.35</v>
      </c>
      <c r="J345">
        <v>3.65</v>
      </c>
      <c r="K345">
        <f>SUM(G345:J345)</f>
        <v>4.97</v>
      </c>
      <c r="L345">
        <f>IF(K345&gt;20,10%,5%)</f>
        <v>0.05</v>
      </c>
      <c r="M345">
        <f>K345*L345</f>
        <v>0.2485</v>
      </c>
      <c r="N345">
        <f>LOOKUP(K345,Lookup!$A$2:$A$5,Lookup!$B$2:$B$5)</f>
        <v>0.1</v>
      </c>
      <c r="O345">
        <f>K345*N345</f>
        <v>0.497</v>
      </c>
      <c r="P345">
        <f>K345-M345+O345</f>
        <v>5.2184999999999997</v>
      </c>
    </row>
    <row r="346" spans="1:16">
      <c r="A346">
        <v>345</v>
      </c>
      <c r="B346" t="s">
        <v>375</v>
      </c>
      <c r="C346" t="s">
        <v>47</v>
      </c>
      <c r="D346">
        <v>2013</v>
      </c>
      <c r="E346" t="s">
        <v>23</v>
      </c>
      <c r="F346" t="s">
        <v>64</v>
      </c>
      <c r="G346">
        <v>1.8</v>
      </c>
      <c r="H346">
        <v>0.4</v>
      </c>
      <c r="I346">
        <v>0.74</v>
      </c>
      <c r="J346">
        <v>3.64</v>
      </c>
      <c r="K346">
        <f>SUM(G346:J346)</f>
        <v>6.58</v>
      </c>
      <c r="L346">
        <f>IF(K346&gt;20,10%,5%)</f>
        <v>0.05</v>
      </c>
      <c r="M346">
        <f>K346*L346</f>
        <v>0.32900000000000001</v>
      </c>
      <c r="N346">
        <f>LOOKUP(K346,Lookup!$A$2:$A$5,Lookup!$B$2:$B$5)</f>
        <v>0.1</v>
      </c>
      <c r="O346">
        <f>K346*N346</f>
        <v>0.65800000000000003</v>
      </c>
      <c r="P346">
        <f>K346-M346+O346</f>
        <v>6.9090000000000007</v>
      </c>
    </row>
    <row r="347" spans="1:16">
      <c r="A347">
        <v>346</v>
      </c>
      <c r="B347" t="s">
        <v>376</v>
      </c>
      <c r="C347" t="s">
        <v>51</v>
      </c>
      <c r="D347">
        <v>2001</v>
      </c>
      <c r="E347" t="s">
        <v>2</v>
      </c>
      <c r="F347" t="s">
        <v>64</v>
      </c>
      <c r="G347">
        <v>1.0900000000000001</v>
      </c>
      <c r="H347">
        <v>0.15</v>
      </c>
      <c r="I347">
        <v>0.33</v>
      </c>
      <c r="J347">
        <v>3.64</v>
      </c>
      <c r="K347">
        <f>SUM(G347:J347)</f>
        <v>5.21</v>
      </c>
      <c r="L347">
        <f>IF(K347&gt;20,10%,5%)</f>
        <v>0.05</v>
      </c>
      <c r="M347">
        <f>K347*L347</f>
        <v>0.26050000000000001</v>
      </c>
      <c r="N347">
        <f>LOOKUP(K347,Lookup!$A$2:$A$5,Lookup!$B$2:$B$5)</f>
        <v>0.1</v>
      </c>
      <c r="O347">
        <f>K347*N347</f>
        <v>0.52100000000000002</v>
      </c>
      <c r="P347">
        <f>K347-M347+O347</f>
        <v>5.4704999999999995</v>
      </c>
    </row>
    <row r="348" spans="1:16">
      <c r="A348">
        <v>347</v>
      </c>
      <c r="B348" t="s">
        <v>377</v>
      </c>
      <c r="C348" t="s">
        <v>83</v>
      </c>
      <c r="D348">
        <v>1999</v>
      </c>
      <c r="E348" t="s">
        <v>38</v>
      </c>
      <c r="F348" t="s">
        <v>19</v>
      </c>
      <c r="G348">
        <v>0.68</v>
      </c>
      <c r="H348">
        <v>0.66</v>
      </c>
      <c r="I348">
        <v>0.06</v>
      </c>
      <c r="J348">
        <v>3.63</v>
      </c>
      <c r="K348">
        <f>SUM(G348:J348)</f>
        <v>5.03</v>
      </c>
      <c r="L348">
        <f>IF(K348&gt;20,10%,5%)</f>
        <v>0.05</v>
      </c>
      <c r="M348">
        <f>K348*L348</f>
        <v>0.2515</v>
      </c>
      <c r="N348">
        <f>LOOKUP(K348,Lookup!$A$2:$A$5,Lookup!$B$2:$B$5)</f>
        <v>0.1</v>
      </c>
      <c r="O348">
        <f>K348*N348</f>
        <v>0.503</v>
      </c>
      <c r="P348">
        <f>K348-M348+O348</f>
        <v>5.2815000000000003</v>
      </c>
    </row>
    <row r="349" spans="1:16">
      <c r="A349">
        <v>348</v>
      </c>
      <c r="B349" t="s">
        <v>378</v>
      </c>
      <c r="C349" t="s">
        <v>47</v>
      </c>
      <c r="D349">
        <v>2009</v>
      </c>
      <c r="E349" t="s">
        <v>18</v>
      </c>
      <c r="F349" t="s">
        <v>115</v>
      </c>
      <c r="G349">
        <v>2.46</v>
      </c>
      <c r="H349">
        <v>0.05</v>
      </c>
      <c r="I349">
        <v>0.52</v>
      </c>
      <c r="J349">
        <v>3.63</v>
      </c>
      <c r="K349">
        <f>SUM(G349:J349)</f>
        <v>6.66</v>
      </c>
      <c r="L349">
        <f>IF(K349&gt;20,10%,5%)</f>
        <v>0.05</v>
      </c>
      <c r="M349">
        <f>K349*L349</f>
        <v>0.33300000000000002</v>
      </c>
      <c r="N349">
        <f>LOOKUP(K349,Lookup!$A$2:$A$5,Lookup!$B$2:$B$5)</f>
        <v>0.1</v>
      </c>
      <c r="O349">
        <f>K349*N349</f>
        <v>0.66600000000000004</v>
      </c>
      <c r="P349">
        <f>K349-M349+O349</f>
        <v>6.9930000000000003</v>
      </c>
    </row>
    <row r="350" spans="1:16">
      <c r="A350">
        <v>349</v>
      </c>
      <c r="B350" t="s">
        <v>379</v>
      </c>
      <c r="C350" t="s">
        <v>51</v>
      </c>
      <c r="D350">
        <v>2007</v>
      </c>
      <c r="E350" t="s">
        <v>18</v>
      </c>
      <c r="F350" t="s">
        <v>188</v>
      </c>
      <c r="G350">
        <v>0</v>
      </c>
      <c r="H350">
        <v>0.64</v>
      </c>
      <c r="I350">
        <v>2.93</v>
      </c>
      <c r="J350">
        <v>3.63</v>
      </c>
      <c r="K350">
        <f>SUM(G350:J350)</f>
        <v>7.2</v>
      </c>
      <c r="L350">
        <f>IF(K350&gt;20,10%,5%)</f>
        <v>0.05</v>
      </c>
      <c r="M350">
        <f>K350*L350</f>
        <v>0.36000000000000004</v>
      </c>
      <c r="N350">
        <f>LOOKUP(K350,Lookup!$A$2:$A$5,Lookup!$B$2:$B$5)</f>
        <v>0.1</v>
      </c>
      <c r="O350">
        <f>K350*N350</f>
        <v>0.72000000000000008</v>
      </c>
      <c r="P350">
        <f>K350-M350+O350</f>
        <v>7.56</v>
      </c>
    </row>
    <row r="351" spans="1:16">
      <c r="A351">
        <v>350</v>
      </c>
      <c r="B351" t="s">
        <v>98</v>
      </c>
      <c r="C351" t="s">
        <v>72</v>
      </c>
      <c r="D351">
        <v>2013</v>
      </c>
      <c r="E351" t="s">
        <v>36</v>
      </c>
      <c r="F351" t="s">
        <v>66</v>
      </c>
      <c r="G351">
        <v>1.42</v>
      </c>
      <c r="H351">
        <v>0.05</v>
      </c>
      <c r="I351">
        <v>0.38</v>
      </c>
      <c r="J351">
        <v>3.63</v>
      </c>
      <c r="K351">
        <f>SUM(G351:J351)</f>
        <v>5.48</v>
      </c>
      <c r="L351">
        <f>IF(K351&gt;20,10%,5%)</f>
        <v>0.05</v>
      </c>
      <c r="M351">
        <f>K351*L351</f>
        <v>0.27400000000000002</v>
      </c>
      <c r="N351">
        <f>LOOKUP(K351,Lookup!$A$2:$A$5,Lookup!$B$2:$B$5)</f>
        <v>0.1</v>
      </c>
      <c r="O351">
        <f>K351*N351</f>
        <v>0.54800000000000004</v>
      </c>
      <c r="P351">
        <f>K351-M351+O351</f>
        <v>5.7540000000000004</v>
      </c>
    </row>
    <row r="352" spans="1:16">
      <c r="A352">
        <v>351</v>
      </c>
      <c r="B352" t="s">
        <v>380</v>
      </c>
      <c r="C352" t="s">
        <v>51</v>
      </c>
      <c r="D352">
        <v>2005</v>
      </c>
      <c r="E352" t="s">
        <v>48</v>
      </c>
      <c r="F352" t="s">
        <v>180</v>
      </c>
      <c r="G352">
        <v>0.83</v>
      </c>
      <c r="H352">
        <v>0.46</v>
      </c>
      <c r="I352">
        <v>0.25</v>
      </c>
      <c r="J352">
        <v>3.62</v>
      </c>
      <c r="K352">
        <f>SUM(G352:J352)</f>
        <v>5.16</v>
      </c>
      <c r="L352">
        <f>IF(K352&gt;20,10%,5%)</f>
        <v>0.05</v>
      </c>
      <c r="M352">
        <f>K352*L352</f>
        <v>0.25800000000000001</v>
      </c>
      <c r="N352">
        <f>LOOKUP(K352,Lookup!$A$2:$A$5,Lookup!$B$2:$B$5)</f>
        <v>0.1</v>
      </c>
      <c r="O352">
        <f>K352*N352</f>
        <v>0.51600000000000001</v>
      </c>
      <c r="P352">
        <f>K352-M352+O352</f>
        <v>5.4180000000000001</v>
      </c>
    </row>
    <row r="353" spans="1:16">
      <c r="A353">
        <v>352</v>
      </c>
      <c r="B353" t="s">
        <v>381</v>
      </c>
      <c r="C353" t="s">
        <v>72</v>
      </c>
      <c r="D353">
        <v>2016</v>
      </c>
      <c r="E353" t="s">
        <v>36</v>
      </c>
      <c r="F353" t="s">
        <v>97</v>
      </c>
      <c r="G353">
        <v>1.61</v>
      </c>
      <c r="H353">
        <v>0.15</v>
      </c>
      <c r="I353">
        <v>0.56999999999999995</v>
      </c>
      <c r="J353">
        <v>3.61</v>
      </c>
      <c r="K353">
        <f>SUM(G353:J353)</f>
        <v>5.9399999999999995</v>
      </c>
      <c r="L353">
        <f>IF(K353&gt;20,10%,5%)</f>
        <v>0.05</v>
      </c>
      <c r="M353">
        <f>K353*L353</f>
        <v>0.29699999999999999</v>
      </c>
      <c r="N353">
        <f>LOOKUP(K353,Lookup!$A$2:$A$5,Lookup!$B$2:$B$5)</f>
        <v>0.1</v>
      </c>
      <c r="O353">
        <f>K353*N353</f>
        <v>0.59399999999999997</v>
      </c>
      <c r="P353">
        <f>K353-M353+O353</f>
        <v>6.2370000000000001</v>
      </c>
    </row>
    <row r="354" spans="1:16">
      <c r="A354">
        <v>353</v>
      </c>
      <c r="B354" t="s">
        <v>382</v>
      </c>
      <c r="C354" t="s">
        <v>51</v>
      </c>
      <c r="D354">
        <v>2004</v>
      </c>
      <c r="E354" t="s">
        <v>36</v>
      </c>
      <c r="F354" t="s">
        <v>200</v>
      </c>
      <c r="G354">
        <v>1.22</v>
      </c>
      <c r="H354">
        <v>0.03</v>
      </c>
      <c r="I354">
        <v>0.44</v>
      </c>
      <c r="J354">
        <v>3.61</v>
      </c>
      <c r="K354">
        <f>SUM(G354:J354)</f>
        <v>5.3</v>
      </c>
      <c r="L354">
        <f>IF(K354&gt;20,10%,5%)</f>
        <v>0.05</v>
      </c>
      <c r="M354">
        <f>K354*L354</f>
        <v>0.26500000000000001</v>
      </c>
      <c r="N354">
        <f>LOOKUP(K354,Lookup!$A$2:$A$5,Lookup!$B$2:$B$5)</f>
        <v>0.1</v>
      </c>
      <c r="O354">
        <f>K354*N354</f>
        <v>0.53</v>
      </c>
      <c r="P354">
        <f>K354-M354+O354</f>
        <v>5.5650000000000004</v>
      </c>
    </row>
    <row r="355" spans="1:16">
      <c r="A355">
        <v>354</v>
      </c>
      <c r="B355" t="s">
        <v>383</v>
      </c>
      <c r="C355" t="s">
        <v>123</v>
      </c>
      <c r="D355">
        <v>1994</v>
      </c>
      <c r="E355" t="s">
        <v>36</v>
      </c>
      <c r="F355" t="s">
        <v>202</v>
      </c>
      <c r="G355">
        <v>1.4</v>
      </c>
      <c r="H355">
        <v>0</v>
      </c>
      <c r="I355">
        <v>0.16</v>
      </c>
      <c r="J355">
        <v>3.61</v>
      </c>
      <c r="K355">
        <f>SUM(G355:J355)</f>
        <v>5.17</v>
      </c>
      <c r="L355">
        <f>IF(K355&gt;20,10%,5%)</f>
        <v>0.05</v>
      </c>
      <c r="M355">
        <f>K355*L355</f>
        <v>0.25850000000000001</v>
      </c>
      <c r="N355">
        <f>LOOKUP(K355,Lookup!$A$2:$A$5,Lookup!$B$2:$B$5)</f>
        <v>0.1</v>
      </c>
      <c r="O355">
        <f>K355*N355</f>
        <v>0.51700000000000002</v>
      </c>
      <c r="P355">
        <f>K355-M355+O355</f>
        <v>5.4285000000000005</v>
      </c>
    </row>
    <row r="356" spans="1:16">
      <c r="A356">
        <v>355</v>
      </c>
      <c r="B356" t="s">
        <v>384</v>
      </c>
      <c r="C356" t="s">
        <v>51</v>
      </c>
      <c r="D356">
        <v>2001</v>
      </c>
      <c r="E356" t="s">
        <v>23</v>
      </c>
      <c r="F356" t="s">
        <v>115</v>
      </c>
      <c r="G356">
        <v>1.17</v>
      </c>
      <c r="H356">
        <v>0</v>
      </c>
      <c r="I356">
        <v>0.42</v>
      </c>
      <c r="J356">
        <v>3.61</v>
      </c>
      <c r="K356">
        <f>SUM(G356:J356)</f>
        <v>5.1999999999999993</v>
      </c>
      <c r="L356">
        <f>IF(K356&gt;20,10%,5%)</f>
        <v>0.05</v>
      </c>
      <c r="M356">
        <f>K356*L356</f>
        <v>0.25999999999999995</v>
      </c>
      <c r="N356">
        <f>LOOKUP(K356,Lookup!$A$2:$A$5,Lookup!$B$2:$B$5)</f>
        <v>0.1</v>
      </c>
      <c r="O356">
        <f>K356*N356</f>
        <v>0.51999999999999991</v>
      </c>
      <c r="P356">
        <f>K356-M356+O356</f>
        <v>5.4599999999999991</v>
      </c>
    </row>
    <row r="357" spans="1:16">
      <c r="A357">
        <v>356</v>
      </c>
      <c r="B357" t="s">
        <v>385</v>
      </c>
      <c r="C357" t="s">
        <v>31</v>
      </c>
      <c r="D357">
        <v>2007</v>
      </c>
      <c r="E357" t="s">
        <v>38</v>
      </c>
      <c r="F357" t="s">
        <v>163</v>
      </c>
      <c r="G357">
        <v>1.5</v>
      </c>
      <c r="H357">
        <v>0.1</v>
      </c>
      <c r="I357">
        <v>0.39</v>
      </c>
      <c r="J357">
        <v>3.61</v>
      </c>
      <c r="K357">
        <f>SUM(G357:J357)</f>
        <v>5.6</v>
      </c>
      <c r="L357">
        <f>IF(K357&gt;20,10%,5%)</f>
        <v>0.05</v>
      </c>
      <c r="M357">
        <f>K357*L357</f>
        <v>0.27999999999999997</v>
      </c>
      <c r="N357">
        <f>LOOKUP(K357,Lookup!$A$2:$A$5,Lookup!$B$2:$B$5)</f>
        <v>0.1</v>
      </c>
      <c r="O357">
        <f>K357*N357</f>
        <v>0.55999999999999994</v>
      </c>
      <c r="P357">
        <f>K357-M357+O357</f>
        <v>5.879999999999999</v>
      </c>
    </row>
    <row r="358" spans="1:16">
      <c r="A358">
        <v>357</v>
      </c>
      <c r="B358" t="s">
        <v>386</v>
      </c>
      <c r="C358" t="s">
        <v>151</v>
      </c>
      <c r="D358">
        <v>2001</v>
      </c>
      <c r="E358" t="s">
        <v>48</v>
      </c>
      <c r="F358" t="s">
        <v>19</v>
      </c>
      <c r="G358">
        <v>0.67</v>
      </c>
      <c r="H358">
        <v>0.46</v>
      </c>
      <c r="I358">
        <v>0.1</v>
      </c>
      <c r="J358">
        <v>3.6</v>
      </c>
      <c r="K358">
        <f>SUM(G358:J358)</f>
        <v>4.83</v>
      </c>
      <c r="L358">
        <f>IF(K358&gt;20,10%,5%)</f>
        <v>0.05</v>
      </c>
      <c r="M358">
        <f>K358*L358</f>
        <v>0.24150000000000002</v>
      </c>
      <c r="N358">
        <f>LOOKUP(K358,Lookup!$A$2:$A$5,Lookup!$B$2:$B$5)</f>
        <v>0.1</v>
      </c>
      <c r="O358">
        <f>K358*N358</f>
        <v>0.48300000000000004</v>
      </c>
      <c r="P358">
        <f>K358-M358+O358</f>
        <v>5.0714999999999995</v>
      </c>
    </row>
    <row r="359" spans="1:16">
      <c r="A359">
        <v>358</v>
      </c>
      <c r="B359" t="s">
        <v>387</v>
      </c>
      <c r="C359" t="s">
        <v>51</v>
      </c>
      <c r="D359">
        <v>2005</v>
      </c>
      <c r="E359" t="s">
        <v>36</v>
      </c>
      <c r="F359" t="s">
        <v>200</v>
      </c>
      <c r="G359">
        <v>1.02</v>
      </c>
      <c r="H359">
        <v>0.03</v>
      </c>
      <c r="I359">
        <v>0.37</v>
      </c>
      <c r="J359">
        <v>3.59</v>
      </c>
      <c r="K359">
        <f>SUM(G359:J359)</f>
        <v>5.01</v>
      </c>
      <c r="L359">
        <f>IF(K359&gt;20,10%,5%)</f>
        <v>0.05</v>
      </c>
      <c r="M359">
        <f>K359*L359</f>
        <v>0.2505</v>
      </c>
      <c r="N359">
        <f>LOOKUP(K359,Lookup!$A$2:$A$5,Lookup!$B$2:$B$5)</f>
        <v>0.1</v>
      </c>
      <c r="O359">
        <f>K359*N359</f>
        <v>0.501</v>
      </c>
      <c r="P359">
        <f>K359-M359+O359</f>
        <v>5.2605000000000004</v>
      </c>
    </row>
    <row r="360" spans="1:16">
      <c r="A360">
        <v>359</v>
      </c>
      <c r="B360" t="s">
        <v>388</v>
      </c>
      <c r="C360" t="s">
        <v>91</v>
      </c>
      <c r="D360">
        <v>2000</v>
      </c>
      <c r="E360" t="s">
        <v>77</v>
      </c>
      <c r="F360" t="s">
        <v>389</v>
      </c>
      <c r="G360">
        <v>1.35</v>
      </c>
      <c r="H360">
        <v>0.06</v>
      </c>
      <c r="I360">
        <v>0.16</v>
      </c>
      <c r="J360">
        <v>3.58</v>
      </c>
      <c r="K360">
        <f>SUM(G360:J360)</f>
        <v>5.15</v>
      </c>
      <c r="L360">
        <f>IF(K360&gt;20,10%,5%)</f>
        <v>0.05</v>
      </c>
      <c r="M360">
        <f>K360*L360</f>
        <v>0.25750000000000001</v>
      </c>
      <c r="N360">
        <f>LOOKUP(K360,Lookup!$A$2:$A$5,Lookup!$B$2:$B$5)</f>
        <v>0.1</v>
      </c>
      <c r="O360">
        <f>K360*N360</f>
        <v>0.51500000000000001</v>
      </c>
      <c r="P360">
        <f>K360-M360+O360</f>
        <v>5.4074999999999998</v>
      </c>
    </row>
    <row r="361" spans="1:16">
      <c r="A361">
        <v>360</v>
      </c>
      <c r="B361" t="s">
        <v>390</v>
      </c>
      <c r="C361" t="s">
        <v>91</v>
      </c>
      <c r="D361">
        <v>1997</v>
      </c>
      <c r="E361" t="s">
        <v>2</v>
      </c>
      <c r="F361" t="s">
        <v>391</v>
      </c>
      <c r="G361">
        <v>1.79</v>
      </c>
      <c r="H361">
        <v>0</v>
      </c>
      <c r="I361">
        <v>0.2</v>
      </c>
      <c r="J361">
        <v>3.56</v>
      </c>
      <c r="K361">
        <f>SUM(G361:J361)</f>
        <v>5.55</v>
      </c>
      <c r="L361">
        <f>IF(K361&gt;20,10%,5%)</f>
        <v>0.05</v>
      </c>
      <c r="M361">
        <f>K361*L361</f>
        <v>0.27750000000000002</v>
      </c>
      <c r="N361">
        <f>LOOKUP(K361,Lookup!$A$2:$A$5,Lookup!$B$2:$B$5)</f>
        <v>0.1</v>
      </c>
      <c r="O361">
        <f>K361*N361</f>
        <v>0.55500000000000005</v>
      </c>
      <c r="P361">
        <f>K361-M361+O361</f>
        <v>5.8274999999999997</v>
      </c>
    </row>
    <row r="362" spans="1:16">
      <c r="A362">
        <v>361</v>
      </c>
      <c r="B362" t="s">
        <v>133</v>
      </c>
      <c r="C362" t="s">
        <v>51</v>
      </c>
      <c r="D362">
        <v>2006</v>
      </c>
      <c r="E362" t="s">
        <v>48</v>
      </c>
      <c r="F362" t="s">
        <v>49</v>
      </c>
      <c r="G362">
        <v>1.4</v>
      </c>
      <c r="H362">
        <v>7.0000000000000007E-2</v>
      </c>
      <c r="I362">
        <v>0.5</v>
      </c>
      <c r="J362">
        <v>3.54</v>
      </c>
      <c r="K362">
        <f>SUM(G362:J362)</f>
        <v>5.51</v>
      </c>
      <c r="L362">
        <f>IF(K362&gt;20,10%,5%)</f>
        <v>0.05</v>
      </c>
      <c r="M362">
        <f>K362*L362</f>
        <v>0.27550000000000002</v>
      </c>
      <c r="N362">
        <f>LOOKUP(K362,Lookup!$A$2:$A$5,Lookup!$B$2:$B$5)</f>
        <v>0.1</v>
      </c>
      <c r="O362">
        <f>K362*N362</f>
        <v>0.55100000000000005</v>
      </c>
      <c r="P362">
        <f>K362-M362+O362</f>
        <v>5.7854999999999999</v>
      </c>
    </row>
    <row r="363" spans="1:16">
      <c r="A363">
        <v>362</v>
      </c>
      <c r="B363" t="s">
        <v>392</v>
      </c>
      <c r="C363" t="s">
        <v>51</v>
      </c>
      <c r="D363">
        <v>2002</v>
      </c>
      <c r="E363" t="s">
        <v>48</v>
      </c>
      <c r="F363" t="s">
        <v>64</v>
      </c>
      <c r="G363">
        <v>1.77</v>
      </c>
      <c r="H363">
        <v>0.05</v>
      </c>
      <c r="I363">
        <v>0.49</v>
      </c>
      <c r="J363">
        <v>3.54</v>
      </c>
      <c r="K363">
        <f>SUM(G363:J363)</f>
        <v>5.85</v>
      </c>
      <c r="L363">
        <f>IF(K363&gt;20,10%,5%)</f>
        <v>0.05</v>
      </c>
      <c r="M363">
        <f>K363*L363</f>
        <v>0.29249999999999998</v>
      </c>
      <c r="N363">
        <f>LOOKUP(K363,Lookup!$A$2:$A$5,Lookup!$B$2:$B$5)</f>
        <v>0.1</v>
      </c>
      <c r="O363">
        <f>K363*N363</f>
        <v>0.58499999999999996</v>
      </c>
      <c r="P363">
        <f>K363-M363+O363</f>
        <v>6.1424999999999992</v>
      </c>
    </row>
    <row r="364" spans="1:16">
      <c r="A364">
        <v>363</v>
      </c>
      <c r="B364" t="s">
        <v>393</v>
      </c>
      <c r="C364" t="s">
        <v>91</v>
      </c>
      <c r="D364">
        <v>1997</v>
      </c>
      <c r="E364" t="s">
        <v>48</v>
      </c>
      <c r="F364" t="s">
        <v>227</v>
      </c>
      <c r="G364">
        <v>1.58</v>
      </c>
      <c r="H364">
        <v>0.12</v>
      </c>
      <c r="I364">
        <v>0.18</v>
      </c>
      <c r="J364">
        <v>3.54</v>
      </c>
      <c r="K364">
        <f>SUM(G364:J364)</f>
        <v>5.42</v>
      </c>
      <c r="L364">
        <f>IF(K364&gt;20,10%,5%)</f>
        <v>0.05</v>
      </c>
      <c r="M364">
        <f>K364*L364</f>
        <v>0.27100000000000002</v>
      </c>
      <c r="N364">
        <f>LOOKUP(K364,Lookup!$A$2:$A$5,Lookup!$B$2:$B$5)</f>
        <v>0.1</v>
      </c>
      <c r="O364">
        <f>K364*N364</f>
        <v>0.54200000000000004</v>
      </c>
      <c r="P364">
        <f>K364-M364+O364</f>
        <v>5.6909999999999998</v>
      </c>
    </row>
    <row r="365" spans="1:16">
      <c r="A365">
        <v>364</v>
      </c>
      <c r="B365" t="s">
        <v>394</v>
      </c>
      <c r="C365" t="s">
        <v>51</v>
      </c>
      <c r="D365">
        <v>2001</v>
      </c>
      <c r="E365" t="s">
        <v>36</v>
      </c>
      <c r="F365" t="s">
        <v>115</v>
      </c>
      <c r="G365">
        <v>1.1299999999999999</v>
      </c>
      <c r="H365">
        <v>0.1</v>
      </c>
      <c r="I365">
        <v>0.41</v>
      </c>
      <c r="J365">
        <v>3.53</v>
      </c>
      <c r="K365">
        <f>SUM(G365:J365)</f>
        <v>5.17</v>
      </c>
      <c r="L365">
        <f>IF(K365&gt;20,10%,5%)</f>
        <v>0.05</v>
      </c>
      <c r="M365">
        <f>K365*L365</f>
        <v>0.25850000000000001</v>
      </c>
      <c r="N365">
        <f>LOOKUP(K365,Lookup!$A$2:$A$5,Lookup!$B$2:$B$5)</f>
        <v>0.1</v>
      </c>
      <c r="O365">
        <f>K365*N365</f>
        <v>0.51700000000000002</v>
      </c>
      <c r="P365">
        <f>K365-M365+O365</f>
        <v>5.4285000000000005</v>
      </c>
    </row>
    <row r="366" spans="1:16">
      <c r="A366">
        <v>365</v>
      </c>
      <c r="B366" t="s">
        <v>395</v>
      </c>
      <c r="C366" t="s">
        <v>51</v>
      </c>
      <c r="D366">
        <v>2005</v>
      </c>
      <c r="E366" t="s">
        <v>48</v>
      </c>
      <c r="F366" t="s">
        <v>227</v>
      </c>
      <c r="G366">
        <v>1.1399999999999999</v>
      </c>
      <c r="H366">
        <v>0.01</v>
      </c>
      <c r="I366">
        <v>0.41</v>
      </c>
      <c r="J366">
        <v>3.53</v>
      </c>
      <c r="K366">
        <f>SUM(G366:J366)</f>
        <v>5.09</v>
      </c>
      <c r="L366">
        <f>IF(K366&gt;20,10%,5%)</f>
        <v>0.05</v>
      </c>
      <c r="M366">
        <f>K366*L366</f>
        <v>0.2545</v>
      </c>
      <c r="N366">
        <f>LOOKUP(K366,Lookup!$A$2:$A$5,Lookup!$B$2:$B$5)</f>
        <v>0.1</v>
      </c>
      <c r="O366">
        <f>K366*N366</f>
        <v>0.50900000000000001</v>
      </c>
      <c r="P366">
        <f>K366-M366+O366</f>
        <v>5.3445</v>
      </c>
    </row>
    <row r="367" spans="1:16">
      <c r="A367">
        <v>366</v>
      </c>
      <c r="B367" t="s">
        <v>367</v>
      </c>
      <c r="C367" t="s">
        <v>44</v>
      </c>
      <c r="D367">
        <v>2013</v>
      </c>
      <c r="E367" t="s">
        <v>36</v>
      </c>
      <c r="F367" t="s">
        <v>115</v>
      </c>
      <c r="G367">
        <v>1.08</v>
      </c>
      <c r="H367">
        <v>0.02</v>
      </c>
      <c r="I367">
        <v>0.28999999999999998</v>
      </c>
      <c r="J367">
        <v>3.53</v>
      </c>
      <c r="K367">
        <f>SUM(G367:J367)</f>
        <v>4.92</v>
      </c>
      <c r="L367">
        <f>IF(K367&gt;20,10%,5%)</f>
        <v>0.05</v>
      </c>
      <c r="M367">
        <f>K367*L367</f>
        <v>0.246</v>
      </c>
      <c r="N367">
        <f>LOOKUP(K367,Lookup!$A$2:$A$5,Lookup!$B$2:$B$5)</f>
        <v>0.1</v>
      </c>
      <c r="O367">
        <f>K367*N367</f>
        <v>0.49199999999999999</v>
      </c>
      <c r="P367">
        <f>K367-M367+O367</f>
        <v>5.1659999999999995</v>
      </c>
    </row>
    <row r="368" spans="1:16">
      <c r="A368">
        <v>367</v>
      </c>
      <c r="B368" t="s">
        <v>245</v>
      </c>
      <c r="C368" t="s">
        <v>44</v>
      </c>
      <c r="D368">
        <v>2010</v>
      </c>
      <c r="E368" t="s">
        <v>18</v>
      </c>
      <c r="F368" t="s">
        <v>115</v>
      </c>
      <c r="G368">
        <v>2.4</v>
      </c>
      <c r="H368">
        <v>0.02</v>
      </c>
      <c r="I368">
        <v>0.4</v>
      </c>
      <c r="J368">
        <v>3.53</v>
      </c>
      <c r="K368">
        <f>SUM(G368:J368)</f>
        <v>6.35</v>
      </c>
      <c r="L368">
        <f>IF(K368&gt;20,10%,5%)</f>
        <v>0.05</v>
      </c>
      <c r="M368">
        <f>K368*L368</f>
        <v>0.3175</v>
      </c>
      <c r="N368">
        <f>LOOKUP(K368,Lookup!$A$2:$A$5,Lookup!$B$2:$B$5)</f>
        <v>0.1</v>
      </c>
      <c r="O368">
        <f>K368*N368</f>
        <v>0.63500000000000001</v>
      </c>
      <c r="P368">
        <f>K368-M368+O368</f>
        <v>6.6674999999999995</v>
      </c>
    </row>
    <row r="369" spans="1:16">
      <c r="A369">
        <v>368</v>
      </c>
      <c r="B369" t="s">
        <v>396</v>
      </c>
      <c r="C369" t="s">
        <v>91</v>
      </c>
      <c r="D369">
        <v>2000</v>
      </c>
      <c r="E369" t="s">
        <v>48</v>
      </c>
      <c r="F369" t="s">
        <v>389</v>
      </c>
      <c r="G369">
        <v>1.33</v>
      </c>
      <c r="H369">
        <v>0</v>
      </c>
      <c r="I369">
        <v>0.23</v>
      </c>
      <c r="J369">
        <v>3.52</v>
      </c>
      <c r="K369">
        <f>SUM(G369:J369)</f>
        <v>5.08</v>
      </c>
      <c r="L369">
        <f>IF(K369&gt;20,10%,5%)</f>
        <v>0.05</v>
      </c>
      <c r="M369">
        <f>K369*L369</f>
        <v>0.254</v>
      </c>
      <c r="N369">
        <f>LOOKUP(K369,Lookup!$A$2:$A$5,Lookup!$B$2:$B$5)</f>
        <v>0.1</v>
      </c>
      <c r="O369">
        <f>K369*N369</f>
        <v>0.50800000000000001</v>
      </c>
      <c r="P369">
        <f>K369-M369+O369</f>
        <v>5.3340000000000005</v>
      </c>
    </row>
    <row r="370" spans="1:16">
      <c r="A370">
        <v>369</v>
      </c>
      <c r="B370" t="s">
        <v>397</v>
      </c>
      <c r="C370" t="s">
        <v>91</v>
      </c>
      <c r="D370">
        <v>1999</v>
      </c>
      <c r="E370" t="s">
        <v>2</v>
      </c>
      <c r="F370" t="s">
        <v>64</v>
      </c>
      <c r="G370">
        <v>1.21</v>
      </c>
      <c r="H370">
        <v>0.01</v>
      </c>
      <c r="I370">
        <v>0.17</v>
      </c>
      <c r="J370">
        <v>3.52</v>
      </c>
      <c r="K370">
        <f>SUM(G370:J370)</f>
        <v>4.91</v>
      </c>
      <c r="L370">
        <f>IF(K370&gt;20,10%,5%)</f>
        <v>0.05</v>
      </c>
      <c r="M370">
        <f>K370*L370</f>
        <v>0.24550000000000002</v>
      </c>
      <c r="N370">
        <f>LOOKUP(K370,Lookup!$A$2:$A$5,Lookup!$B$2:$B$5)</f>
        <v>0.1</v>
      </c>
      <c r="O370">
        <f>K370*N370</f>
        <v>0.49100000000000005</v>
      </c>
      <c r="P370">
        <f>K370-M370+O370</f>
        <v>5.1555</v>
      </c>
    </row>
    <row r="371" spans="1:16">
      <c r="A371">
        <v>370</v>
      </c>
      <c r="B371" t="s">
        <v>398</v>
      </c>
      <c r="C371" t="s">
        <v>44</v>
      </c>
      <c r="D371">
        <v>2008</v>
      </c>
      <c r="E371" t="s">
        <v>36</v>
      </c>
      <c r="F371" t="s">
        <v>115</v>
      </c>
      <c r="G371">
        <v>0.5</v>
      </c>
      <c r="H371">
        <v>0.05</v>
      </c>
      <c r="I371">
        <v>0.3</v>
      </c>
      <c r="J371">
        <v>3.52</v>
      </c>
      <c r="K371">
        <f>SUM(G371:J371)</f>
        <v>4.37</v>
      </c>
      <c r="L371">
        <f>IF(K371&gt;20,10%,5%)</f>
        <v>0.05</v>
      </c>
      <c r="M371">
        <f>K371*L371</f>
        <v>0.21850000000000003</v>
      </c>
      <c r="N371">
        <f>LOOKUP(K371,Lookup!$A$2:$A$5,Lookup!$B$2:$B$5)</f>
        <v>0.1</v>
      </c>
      <c r="O371">
        <f>K371*N371</f>
        <v>0.43700000000000006</v>
      </c>
      <c r="P371">
        <f>K371-M371+O371</f>
        <v>4.5885000000000007</v>
      </c>
    </row>
    <row r="372" spans="1:16">
      <c r="A372">
        <v>371</v>
      </c>
      <c r="B372" t="s">
        <v>272</v>
      </c>
      <c r="C372" t="s">
        <v>31</v>
      </c>
      <c r="D372">
        <v>2009</v>
      </c>
      <c r="E372" t="s">
        <v>18</v>
      </c>
      <c r="F372" t="s">
        <v>126</v>
      </c>
      <c r="G372">
        <v>1.66</v>
      </c>
      <c r="H372">
        <v>0.27</v>
      </c>
      <c r="I372">
        <v>0.38</v>
      </c>
      <c r="J372">
        <v>3.52</v>
      </c>
      <c r="K372">
        <f>SUM(G372:J372)</f>
        <v>5.83</v>
      </c>
      <c r="L372">
        <f>IF(K372&gt;20,10%,5%)</f>
        <v>0.05</v>
      </c>
      <c r="M372">
        <f>K372*L372</f>
        <v>0.29150000000000004</v>
      </c>
      <c r="N372">
        <f>LOOKUP(K372,Lookup!$A$2:$A$5,Lookup!$B$2:$B$5)</f>
        <v>0.1</v>
      </c>
      <c r="O372">
        <f>K372*N372</f>
        <v>0.58300000000000007</v>
      </c>
      <c r="P372">
        <f>K372-M372+O372</f>
        <v>6.1215000000000002</v>
      </c>
    </row>
    <row r="373" spans="1:16">
      <c r="A373">
        <v>372</v>
      </c>
      <c r="B373" t="s">
        <v>243</v>
      </c>
      <c r="C373" t="s">
        <v>44</v>
      </c>
      <c r="D373">
        <v>2009</v>
      </c>
      <c r="E373" t="s">
        <v>48</v>
      </c>
      <c r="F373" t="s">
        <v>180</v>
      </c>
      <c r="G373">
        <v>0.94</v>
      </c>
      <c r="H373">
        <v>0.12</v>
      </c>
      <c r="I373">
        <v>0.34</v>
      </c>
      <c r="J373">
        <v>3.51</v>
      </c>
      <c r="K373">
        <f>SUM(G373:J373)</f>
        <v>4.91</v>
      </c>
      <c r="L373">
        <f>IF(K373&gt;20,10%,5%)</f>
        <v>0.05</v>
      </c>
      <c r="M373">
        <f>K373*L373</f>
        <v>0.24550000000000002</v>
      </c>
      <c r="N373">
        <f>LOOKUP(K373,Lookup!$A$2:$A$5,Lookup!$B$2:$B$5)</f>
        <v>0.1</v>
      </c>
      <c r="O373">
        <f>K373*N373</f>
        <v>0.49100000000000005</v>
      </c>
      <c r="P373">
        <f>K373-M373+O373</f>
        <v>5.1555</v>
      </c>
    </row>
    <row r="374" spans="1:16">
      <c r="A374">
        <v>373</v>
      </c>
      <c r="B374" t="s">
        <v>399</v>
      </c>
      <c r="C374" t="s">
        <v>53</v>
      </c>
      <c r="D374">
        <v>1996</v>
      </c>
      <c r="E374" t="s">
        <v>2</v>
      </c>
      <c r="F374" t="s">
        <v>19</v>
      </c>
      <c r="G374">
        <v>0.5</v>
      </c>
      <c r="H374">
        <v>1.75</v>
      </c>
      <c r="I374">
        <v>0.08</v>
      </c>
      <c r="J374">
        <v>3.51</v>
      </c>
      <c r="K374">
        <f>SUM(G374:J374)</f>
        <v>5.84</v>
      </c>
      <c r="L374">
        <f>IF(K374&gt;20,10%,5%)</f>
        <v>0.05</v>
      </c>
      <c r="M374">
        <f>K374*L374</f>
        <v>0.29199999999999998</v>
      </c>
      <c r="N374">
        <f>LOOKUP(K374,Lookup!$A$2:$A$5,Lookup!$B$2:$B$5)</f>
        <v>0.1</v>
      </c>
      <c r="O374">
        <f>K374*N374</f>
        <v>0.58399999999999996</v>
      </c>
      <c r="P374">
        <f>K374-M374+O374</f>
        <v>6.1319999999999997</v>
      </c>
    </row>
    <row r="375" spans="1:16">
      <c r="A375">
        <v>374</v>
      </c>
      <c r="B375" t="s">
        <v>400</v>
      </c>
      <c r="C375" t="s">
        <v>44</v>
      </c>
      <c r="D375">
        <v>2010</v>
      </c>
      <c r="E375" t="s">
        <v>48</v>
      </c>
      <c r="F375" t="s">
        <v>97</v>
      </c>
      <c r="G375">
        <v>0.39</v>
      </c>
      <c r="H375">
        <v>0.03</v>
      </c>
      <c r="I375">
        <v>0.24</v>
      </c>
      <c r="J375">
        <v>3.5</v>
      </c>
      <c r="K375">
        <f>SUM(G375:J375)</f>
        <v>4.16</v>
      </c>
      <c r="L375">
        <f>IF(K375&gt;20,10%,5%)</f>
        <v>0.05</v>
      </c>
      <c r="M375">
        <f>K375*L375</f>
        <v>0.20800000000000002</v>
      </c>
      <c r="N375">
        <f>LOOKUP(K375,Lookup!$A$2:$A$5,Lookup!$B$2:$B$5)</f>
        <v>0.1</v>
      </c>
      <c r="O375">
        <f>K375*N375</f>
        <v>0.41600000000000004</v>
      </c>
      <c r="P375">
        <f>K375-M375+O375</f>
        <v>4.3680000000000003</v>
      </c>
    </row>
    <row r="376" spans="1:16">
      <c r="A376">
        <v>375</v>
      </c>
      <c r="B376" t="s">
        <v>401</v>
      </c>
      <c r="C376" t="s">
        <v>21</v>
      </c>
      <c r="D376">
        <v>1985</v>
      </c>
      <c r="E376" t="s">
        <v>48</v>
      </c>
      <c r="F376" t="s">
        <v>19</v>
      </c>
      <c r="G376">
        <v>0.38</v>
      </c>
      <c r="H376">
        <v>1.42</v>
      </c>
      <c r="I376">
        <v>0.06</v>
      </c>
      <c r="J376">
        <v>3.5</v>
      </c>
      <c r="K376">
        <f>SUM(G376:J376)</f>
        <v>5.3599999999999994</v>
      </c>
      <c r="L376">
        <f>IF(K376&gt;20,10%,5%)</f>
        <v>0.05</v>
      </c>
      <c r="M376">
        <f>K376*L376</f>
        <v>0.26799999999999996</v>
      </c>
      <c r="N376">
        <f>LOOKUP(K376,Lookup!$A$2:$A$5,Lookup!$B$2:$B$5)</f>
        <v>0.1</v>
      </c>
      <c r="O376">
        <f>K376*N376</f>
        <v>0.53599999999999992</v>
      </c>
      <c r="P376">
        <f>K376-M376+O376</f>
        <v>5.6279999999999992</v>
      </c>
    </row>
    <row r="377" spans="1:16">
      <c r="A377">
        <v>376</v>
      </c>
      <c r="B377" t="s">
        <v>297</v>
      </c>
      <c r="C377" t="s">
        <v>44</v>
      </c>
      <c r="D377">
        <v>2009</v>
      </c>
      <c r="E377" t="s">
        <v>48</v>
      </c>
      <c r="F377" t="s">
        <v>227</v>
      </c>
      <c r="G377">
        <v>0.97</v>
      </c>
      <c r="H377">
        <v>0.02</v>
      </c>
      <c r="I377">
        <v>0.31</v>
      </c>
      <c r="J377">
        <v>3.5</v>
      </c>
      <c r="K377">
        <f>SUM(G377:J377)</f>
        <v>4.8</v>
      </c>
      <c r="L377">
        <f>IF(K377&gt;20,10%,5%)</f>
        <v>0.05</v>
      </c>
      <c r="M377">
        <f>K377*L377</f>
        <v>0.24</v>
      </c>
      <c r="N377">
        <f>LOOKUP(K377,Lookup!$A$2:$A$5,Lookup!$B$2:$B$5)</f>
        <v>0.1</v>
      </c>
      <c r="O377">
        <f>K377*N377</f>
        <v>0.48</v>
      </c>
      <c r="P377">
        <f>K377-M377+O377</f>
        <v>5.0399999999999991</v>
      </c>
    </row>
    <row r="378" spans="1:16">
      <c r="A378">
        <v>377</v>
      </c>
      <c r="B378" t="s">
        <v>402</v>
      </c>
      <c r="C378" t="s">
        <v>31</v>
      </c>
      <c r="D378">
        <v>2006</v>
      </c>
      <c r="E378" t="s">
        <v>33</v>
      </c>
      <c r="F378" t="s">
        <v>19</v>
      </c>
      <c r="G378">
        <v>1.83</v>
      </c>
      <c r="H378">
        <v>0.73</v>
      </c>
      <c r="I378">
        <v>0.35</v>
      </c>
      <c r="J378">
        <v>3.5</v>
      </c>
      <c r="K378">
        <f>SUM(G378:J378)</f>
        <v>6.41</v>
      </c>
      <c r="L378">
        <f>IF(K378&gt;20,10%,5%)</f>
        <v>0.05</v>
      </c>
      <c r="M378">
        <f>K378*L378</f>
        <v>0.32050000000000001</v>
      </c>
      <c r="N378">
        <f>LOOKUP(K378,Lookup!$A$2:$A$5,Lookup!$B$2:$B$5)</f>
        <v>0.1</v>
      </c>
      <c r="O378">
        <f>K378*N378</f>
        <v>0.64100000000000001</v>
      </c>
      <c r="P378">
        <f>K378-M378+O378</f>
        <v>6.7305000000000001</v>
      </c>
    </row>
    <row r="379" spans="1:16">
      <c r="A379">
        <v>378</v>
      </c>
      <c r="B379" t="s">
        <v>403</v>
      </c>
      <c r="C379" t="s">
        <v>51</v>
      </c>
      <c r="D379" t="s">
        <v>229</v>
      </c>
      <c r="E379" t="s">
        <v>18</v>
      </c>
      <c r="F379" t="s">
        <v>115</v>
      </c>
      <c r="G379">
        <v>2.36</v>
      </c>
      <c r="H379">
        <v>0.04</v>
      </c>
      <c r="I379">
        <v>0.51</v>
      </c>
      <c r="J379">
        <v>3.49</v>
      </c>
      <c r="K379">
        <f>SUM(G379:J379)</f>
        <v>6.4</v>
      </c>
      <c r="L379">
        <f>IF(K379&gt;20,10%,5%)</f>
        <v>0.05</v>
      </c>
      <c r="M379">
        <f>K379*L379</f>
        <v>0.32000000000000006</v>
      </c>
      <c r="N379">
        <f>LOOKUP(K379,Lookup!$A$2:$A$5,Lookup!$B$2:$B$5)</f>
        <v>0.1</v>
      </c>
      <c r="O379">
        <f>K379*N379</f>
        <v>0.64000000000000012</v>
      </c>
      <c r="P379">
        <f>K379-M379+O379</f>
        <v>6.7200000000000006</v>
      </c>
    </row>
    <row r="380" spans="1:16">
      <c r="A380">
        <v>379</v>
      </c>
      <c r="B380" t="s">
        <v>136</v>
      </c>
      <c r="C380" t="s">
        <v>145</v>
      </c>
      <c r="D380">
        <v>2015</v>
      </c>
      <c r="E380" t="s">
        <v>36</v>
      </c>
      <c r="F380" t="s">
        <v>115</v>
      </c>
      <c r="G380">
        <v>1.22</v>
      </c>
      <c r="H380">
        <v>0.02</v>
      </c>
      <c r="I380">
        <v>0.31</v>
      </c>
      <c r="J380">
        <v>3.49</v>
      </c>
      <c r="K380">
        <f>SUM(G380:J380)</f>
        <v>5.04</v>
      </c>
      <c r="L380">
        <f>IF(K380&gt;20,10%,5%)</f>
        <v>0.05</v>
      </c>
      <c r="M380">
        <f>K380*L380</f>
        <v>0.252</v>
      </c>
      <c r="N380">
        <f>LOOKUP(K380,Lookup!$A$2:$A$5,Lookup!$B$2:$B$5)</f>
        <v>0.1</v>
      </c>
      <c r="O380">
        <f>K380*N380</f>
        <v>0.504</v>
      </c>
      <c r="P380">
        <f>K380-M380+O380</f>
        <v>5.2919999999999998</v>
      </c>
    </row>
    <row r="381" spans="1:16">
      <c r="A381">
        <v>380</v>
      </c>
      <c r="B381" t="s">
        <v>404</v>
      </c>
      <c r="C381" t="s">
        <v>44</v>
      </c>
      <c r="D381">
        <v>2010</v>
      </c>
      <c r="E381" t="s">
        <v>36</v>
      </c>
      <c r="F381" t="s">
        <v>115</v>
      </c>
      <c r="G381">
        <v>1.02</v>
      </c>
      <c r="H381">
        <v>0.04</v>
      </c>
      <c r="I381">
        <v>0.32</v>
      </c>
      <c r="J381">
        <v>3.48</v>
      </c>
      <c r="K381">
        <f>SUM(G381:J381)</f>
        <v>4.8600000000000003</v>
      </c>
      <c r="L381">
        <f>IF(K381&gt;20,10%,5%)</f>
        <v>0.05</v>
      </c>
      <c r="M381">
        <f>K381*L381</f>
        <v>0.24300000000000002</v>
      </c>
      <c r="N381">
        <f>LOOKUP(K381,Lookup!$A$2:$A$5,Lookup!$B$2:$B$5)</f>
        <v>0.1</v>
      </c>
      <c r="O381">
        <f>K381*N381</f>
        <v>0.48600000000000004</v>
      </c>
      <c r="P381">
        <f>K381-M381+O381</f>
        <v>5.1029999999999998</v>
      </c>
    </row>
    <row r="382" spans="1:16">
      <c r="A382">
        <v>381</v>
      </c>
      <c r="B382" t="s">
        <v>405</v>
      </c>
      <c r="C382" t="s">
        <v>31</v>
      </c>
      <c r="D382">
        <v>2008</v>
      </c>
      <c r="E382" t="s">
        <v>33</v>
      </c>
      <c r="F382" t="s">
        <v>66</v>
      </c>
      <c r="G382">
        <v>1.01</v>
      </c>
      <c r="H382">
        <v>0.01</v>
      </c>
      <c r="I382">
        <v>0.35</v>
      </c>
      <c r="J382">
        <v>3.48</v>
      </c>
      <c r="K382">
        <f>SUM(G382:J382)</f>
        <v>4.8499999999999996</v>
      </c>
      <c r="L382">
        <f>IF(K382&gt;20,10%,5%)</f>
        <v>0.05</v>
      </c>
      <c r="M382">
        <f>K382*L382</f>
        <v>0.24249999999999999</v>
      </c>
      <c r="N382">
        <f>LOOKUP(K382,Lookup!$A$2:$A$5,Lookup!$B$2:$B$5)</f>
        <v>0.1</v>
      </c>
      <c r="O382">
        <f>K382*N382</f>
        <v>0.48499999999999999</v>
      </c>
      <c r="P382">
        <f>K382-M382+O382</f>
        <v>5.0925000000000002</v>
      </c>
    </row>
    <row r="383" spans="1:16">
      <c r="A383">
        <v>382</v>
      </c>
      <c r="B383" t="s">
        <v>336</v>
      </c>
      <c r="C383" t="s">
        <v>145</v>
      </c>
      <c r="D383">
        <v>2014</v>
      </c>
      <c r="E383" t="s">
        <v>48</v>
      </c>
      <c r="F383" t="s">
        <v>97</v>
      </c>
      <c r="G383">
        <v>0.89</v>
      </c>
      <c r="H383">
        <v>0</v>
      </c>
      <c r="I383">
        <v>0.3</v>
      </c>
      <c r="J383">
        <v>3.46</v>
      </c>
      <c r="K383">
        <f>SUM(G383:J383)</f>
        <v>4.6500000000000004</v>
      </c>
      <c r="L383">
        <f>IF(K383&gt;20,10%,5%)</f>
        <v>0.05</v>
      </c>
      <c r="M383">
        <f>K383*L383</f>
        <v>0.23250000000000004</v>
      </c>
      <c r="N383">
        <f>LOOKUP(K383,Lookup!$A$2:$A$5,Lookup!$B$2:$B$5)</f>
        <v>0.1</v>
      </c>
      <c r="O383">
        <f>K383*N383</f>
        <v>0.46500000000000008</v>
      </c>
      <c r="P383">
        <f>K383-M383+O383</f>
        <v>4.8825000000000003</v>
      </c>
    </row>
    <row r="384" spans="1:16">
      <c r="A384">
        <v>383</v>
      </c>
      <c r="B384" t="s">
        <v>406</v>
      </c>
      <c r="C384" t="s">
        <v>47</v>
      </c>
      <c r="D384">
        <v>2012</v>
      </c>
      <c r="E384" t="s">
        <v>36</v>
      </c>
      <c r="F384" t="s">
        <v>97</v>
      </c>
      <c r="G384">
        <v>1.75</v>
      </c>
      <c r="H384">
        <v>0.1</v>
      </c>
      <c r="I384">
        <v>0.72</v>
      </c>
      <c r="J384">
        <v>3.45</v>
      </c>
      <c r="K384">
        <f>SUM(G384:J384)</f>
        <v>6.0200000000000005</v>
      </c>
      <c r="L384">
        <f>IF(K384&gt;20,10%,5%)</f>
        <v>0.05</v>
      </c>
      <c r="M384">
        <f>K384*L384</f>
        <v>0.30100000000000005</v>
      </c>
      <c r="N384">
        <f>LOOKUP(K384,Lookup!$A$2:$A$5,Lookup!$B$2:$B$5)</f>
        <v>0.1</v>
      </c>
      <c r="O384">
        <f>K384*N384</f>
        <v>0.60200000000000009</v>
      </c>
      <c r="P384">
        <f>K384-M384+O384</f>
        <v>6.3210000000000006</v>
      </c>
    </row>
    <row r="385" spans="1:16">
      <c r="A385">
        <v>384</v>
      </c>
      <c r="B385" t="s">
        <v>407</v>
      </c>
      <c r="C385" t="s">
        <v>70</v>
      </c>
      <c r="D385">
        <v>2013</v>
      </c>
      <c r="E385" t="s">
        <v>27</v>
      </c>
      <c r="F385" t="s">
        <v>180</v>
      </c>
      <c r="G385">
        <v>0</v>
      </c>
      <c r="H385">
        <v>3.44</v>
      </c>
      <c r="I385">
        <v>0</v>
      </c>
      <c r="J385">
        <v>3.44</v>
      </c>
      <c r="K385">
        <f>SUM(G385:J385)</f>
        <v>6.88</v>
      </c>
      <c r="L385">
        <f>IF(K385&gt;20,10%,5%)</f>
        <v>0.05</v>
      </c>
      <c r="M385">
        <f>K385*L385</f>
        <v>0.34400000000000003</v>
      </c>
      <c r="N385">
        <f>LOOKUP(K385,Lookup!$A$2:$A$5,Lookup!$B$2:$B$5)</f>
        <v>0.1</v>
      </c>
      <c r="O385">
        <f>K385*N385</f>
        <v>0.68800000000000006</v>
      </c>
      <c r="P385">
        <f>K385-M385+O385</f>
        <v>7.2239999999999993</v>
      </c>
    </row>
    <row r="386" spans="1:16">
      <c r="A386">
        <v>385</v>
      </c>
      <c r="B386" t="s">
        <v>408</v>
      </c>
      <c r="C386" t="s">
        <v>44</v>
      </c>
      <c r="D386">
        <v>2009</v>
      </c>
      <c r="E386" t="s">
        <v>36</v>
      </c>
      <c r="F386" t="s">
        <v>49</v>
      </c>
      <c r="G386">
        <v>0.73</v>
      </c>
      <c r="H386">
        <v>0.03</v>
      </c>
      <c r="I386">
        <v>0.28999999999999998</v>
      </c>
      <c r="J386">
        <v>3.44</v>
      </c>
      <c r="K386">
        <f>SUM(G386:J386)</f>
        <v>4.49</v>
      </c>
      <c r="L386">
        <f>IF(K386&gt;20,10%,5%)</f>
        <v>0.05</v>
      </c>
      <c r="M386">
        <f>K386*L386</f>
        <v>0.22450000000000003</v>
      </c>
      <c r="N386">
        <f>LOOKUP(K386,Lookup!$A$2:$A$5,Lookup!$B$2:$B$5)</f>
        <v>0.1</v>
      </c>
      <c r="O386">
        <f>K386*N386</f>
        <v>0.44900000000000007</v>
      </c>
      <c r="P386">
        <f>K386-M386+O386</f>
        <v>4.7145000000000001</v>
      </c>
    </row>
    <row r="387" spans="1:16">
      <c r="A387">
        <v>386</v>
      </c>
      <c r="B387" t="s">
        <v>409</v>
      </c>
      <c r="C387" t="s">
        <v>51</v>
      </c>
      <c r="D387">
        <v>2002</v>
      </c>
      <c r="E387" t="s">
        <v>77</v>
      </c>
      <c r="F387" t="s">
        <v>300</v>
      </c>
      <c r="G387">
        <v>1.27</v>
      </c>
      <c r="H387">
        <v>0.33</v>
      </c>
      <c r="I387">
        <v>0.28999999999999998</v>
      </c>
      <c r="J387">
        <v>3.44</v>
      </c>
      <c r="K387">
        <f>SUM(G387:J387)</f>
        <v>5.33</v>
      </c>
      <c r="L387">
        <f>IF(K387&gt;20,10%,5%)</f>
        <v>0.05</v>
      </c>
      <c r="M387">
        <f>K387*L387</f>
        <v>0.26650000000000001</v>
      </c>
      <c r="N387">
        <f>LOOKUP(K387,Lookup!$A$2:$A$5,Lookup!$B$2:$B$5)</f>
        <v>0.1</v>
      </c>
      <c r="O387">
        <f>K387*N387</f>
        <v>0.53300000000000003</v>
      </c>
      <c r="P387">
        <f>K387-M387+O387</f>
        <v>5.5965000000000007</v>
      </c>
    </row>
    <row r="388" spans="1:16">
      <c r="A388">
        <v>387</v>
      </c>
      <c r="B388" t="s">
        <v>367</v>
      </c>
      <c r="C388" t="s">
        <v>72</v>
      </c>
      <c r="D388">
        <v>2013</v>
      </c>
      <c r="E388" t="s">
        <v>36</v>
      </c>
      <c r="F388" t="s">
        <v>115</v>
      </c>
      <c r="G388">
        <v>1.54</v>
      </c>
      <c r="H388">
        <v>0.17</v>
      </c>
      <c r="I388">
        <v>0.38</v>
      </c>
      <c r="J388">
        <v>3.43</v>
      </c>
      <c r="K388">
        <f>SUM(G388:J388)</f>
        <v>5.52</v>
      </c>
      <c r="L388">
        <f>IF(K388&gt;20,10%,5%)</f>
        <v>0.05</v>
      </c>
      <c r="M388">
        <f>K388*L388</f>
        <v>0.27599999999999997</v>
      </c>
      <c r="N388">
        <f>LOOKUP(K388,Lookup!$A$2:$A$5,Lookup!$B$2:$B$5)</f>
        <v>0.1</v>
      </c>
      <c r="O388">
        <f>K388*N388</f>
        <v>0.55199999999999994</v>
      </c>
      <c r="P388">
        <f>K388-M388+O388</f>
        <v>5.7959999999999994</v>
      </c>
    </row>
    <row r="389" spans="1:16">
      <c r="A389">
        <v>388</v>
      </c>
      <c r="B389" t="s">
        <v>410</v>
      </c>
      <c r="C389" t="s">
        <v>47</v>
      </c>
      <c r="D389">
        <v>2011</v>
      </c>
      <c r="E389" t="s">
        <v>2</v>
      </c>
      <c r="F389" t="s">
        <v>64</v>
      </c>
      <c r="G389">
        <v>1.07</v>
      </c>
      <c r="H389">
        <v>0.06</v>
      </c>
      <c r="I389">
        <v>0.47</v>
      </c>
      <c r="J389">
        <v>3.42</v>
      </c>
      <c r="K389">
        <f>SUM(G389:J389)</f>
        <v>5.0199999999999996</v>
      </c>
      <c r="L389">
        <f>IF(K389&gt;20,10%,5%)</f>
        <v>0.05</v>
      </c>
      <c r="M389">
        <f>K389*L389</f>
        <v>0.251</v>
      </c>
      <c r="N389">
        <f>LOOKUP(K389,Lookup!$A$2:$A$5,Lookup!$B$2:$B$5)</f>
        <v>0.1</v>
      </c>
      <c r="O389">
        <f>K389*N389</f>
        <v>0.502</v>
      </c>
      <c r="P389">
        <f>K389-M389+O389</f>
        <v>5.270999999999999</v>
      </c>
    </row>
    <row r="390" spans="1:16">
      <c r="A390">
        <v>389</v>
      </c>
      <c r="B390" t="s">
        <v>411</v>
      </c>
      <c r="C390" t="s">
        <v>91</v>
      </c>
      <c r="D390">
        <v>1998</v>
      </c>
      <c r="E390" t="s">
        <v>48</v>
      </c>
      <c r="F390" t="s">
        <v>49</v>
      </c>
      <c r="G390">
        <v>2.0699999999999998</v>
      </c>
      <c r="H390">
        <v>0</v>
      </c>
      <c r="I390">
        <v>0.22</v>
      </c>
      <c r="J390">
        <v>3.42</v>
      </c>
      <c r="K390">
        <f>SUM(G390:J390)</f>
        <v>5.71</v>
      </c>
      <c r="L390">
        <f>IF(K390&gt;20,10%,5%)</f>
        <v>0.05</v>
      </c>
      <c r="M390">
        <f>K390*L390</f>
        <v>0.28550000000000003</v>
      </c>
      <c r="N390">
        <f>LOOKUP(K390,Lookup!$A$2:$A$5,Lookup!$B$2:$B$5)</f>
        <v>0.1</v>
      </c>
      <c r="O390">
        <f>K390*N390</f>
        <v>0.57100000000000006</v>
      </c>
      <c r="P390">
        <f>K390-M390+O390</f>
        <v>5.9954999999999998</v>
      </c>
    </row>
    <row r="391" spans="1:16">
      <c r="A391">
        <v>390</v>
      </c>
      <c r="B391" t="s">
        <v>412</v>
      </c>
      <c r="C391" t="s">
        <v>53</v>
      </c>
      <c r="D391">
        <v>1994</v>
      </c>
      <c r="E391" t="s">
        <v>27</v>
      </c>
      <c r="F391" t="s">
        <v>129</v>
      </c>
      <c r="G391">
        <v>0</v>
      </c>
      <c r="H391">
        <v>2.5499999999999998</v>
      </c>
      <c r="I391">
        <v>0.02</v>
      </c>
      <c r="J391">
        <v>3.42</v>
      </c>
      <c r="K391">
        <f>SUM(G391:J391)</f>
        <v>5.99</v>
      </c>
      <c r="L391">
        <f>IF(K391&gt;20,10%,5%)</f>
        <v>0.05</v>
      </c>
      <c r="M391">
        <f>K391*L391</f>
        <v>0.29950000000000004</v>
      </c>
      <c r="N391">
        <f>LOOKUP(K391,Lookup!$A$2:$A$5,Lookup!$B$2:$B$5)</f>
        <v>0.1</v>
      </c>
      <c r="O391">
        <f>K391*N391</f>
        <v>0.59900000000000009</v>
      </c>
      <c r="P391">
        <f>K391-M391+O391</f>
        <v>6.2895000000000003</v>
      </c>
    </row>
    <row r="392" spans="1:16">
      <c r="A392">
        <v>391</v>
      </c>
      <c r="B392" t="s">
        <v>413</v>
      </c>
      <c r="C392" t="s">
        <v>51</v>
      </c>
      <c r="D392">
        <v>2004</v>
      </c>
      <c r="E392" t="s">
        <v>48</v>
      </c>
      <c r="F392" t="s">
        <v>66</v>
      </c>
      <c r="G392">
        <v>1.2</v>
      </c>
      <c r="H392">
        <v>0.02</v>
      </c>
      <c r="I392">
        <v>0.43</v>
      </c>
      <c r="J392">
        <v>3.41</v>
      </c>
      <c r="K392">
        <f>SUM(G392:J392)</f>
        <v>5.0600000000000005</v>
      </c>
      <c r="L392">
        <f>IF(K392&gt;20,10%,5%)</f>
        <v>0.05</v>
      </c>
      <c r="M392">
        <f>K392*L392</f>
        <v>0.25300000000000006</v>
      </c>
      <c r="N392">
        <f>LOOKUP(K392,Lookup!$A$2:$A$5,Lookup!$B$2:$B$5)</f>
        <v>0.1</v>
      </c>
      <c r="O392">
        <f>K392*N392</f>
        <v>0.50600000000000012</v>
      </c>
      <c r="P392">
        <f>K392-M392+O392</f>
        <v>5.3130000000000006</v>
      </c>
    </row>
    <row r="393" spans="1:16">
      <c r="A393">
        <v>392</v>
      </c>
      <c r="B393" t="s">
        <v>414</v>
      </c>
      <c r="C393" t="s">
        <v>26</v>
      </c>
      <c r="D393">
        <v>1990</v>
      </c>
      <c r="E393" t="s">
        <v>23</v>
      </c>
      <c r="F393" t="s">
        <v>19</v>
      </c>
      <c r="G393">
        <v>0.69</v>
      </c>
      <c r="H393">
        <v>0.59</v>
      </c>
      <c r="I393">
        <v>0.4</v>
      </c>
      <c r="J393">
        <v>3.41</v>
      </c>
      <c r="K393">
        <f>SUM(G393:J393)</f>
        <v>5.09</v>
      </c>
      <c r="L393">
        <f>IF(K393&gt;20,10%,5%)</f>
        <v>0.05</v>
      </c>
      <c r="M393">
        <f>K393*L393</f>
        <v>0.2545</v>
      </c>
      <c r="N393">
        <f>LOOKUP(K393,Lookup!$A$2:$A$5,Lookup!$B$2:$B$5)</f>
        <v>0.1</v>
      </c>
      <c r="O393">
        <f>K393*N393</f>
        <v>0.50900000000000001</v>
      </c>
      <c r="P393">
        <f>K393-M393+O393</f>
        <v>5.3445</v>
      </c>
    </row>
    <row r="394" spans="1:16">
      <c r="A394">
        <v>393</v>
      </c>
      <c r="B394" t="s">
        <v>415</v>
      </c>
      <c r="C394" t="s">
        <v>51</v>
      </c>
      <c r="D394">
        <v>2002</v>
      </c>
      <c r="E394" t="s">
        <v>18</v>
      </c>
      <c r="F394" t="s">
        <v>115</v>
      </c>
      <c r="G394">
        <v>2.2799999999999998</v>
      </c>
      <c r="H394">
        <v>0.05</v>
      </c>
      <c r="I394">
        <v>0.61</v>
      </c>
      <c r="J394">
        <v>3.4</v>
      </c>
      <c r="K394">
        <f>SUM(G394:J394)</f>
        <v>6.34</v>
      </c>
      <c r="L394">
        <f>IF(K394&gt;20,10%,5%)</f>
        <v>0.05</v>
      </c>
      <c r="M394">
        <f>K394*L394</f>
        <v>0.317</v>
      </c>
      <c r="N394">
        <f>LOOKUP(K394,Lookup!$A$2:$A$5,Lookup!$B$2:$B$5)</f>
        <v>0.1</v>
      </c>
      <c r="O394">
        <f>K394*N394</f>
        <v>0.63400000000000001</v>
      </c>
      <c r="P394">
        <f>K394-M394+O394</f>
        <v>6.657</v>
      </c>
    </row>
    <row r="395" spans="1:16">
      <c r="A395">
        <v>394</v>
      </c>
      <c r="B395" t="s">
        <v>416</v>
      </c>
      <c r="C395" t="s">
        <v>91</v>
      </c>
      <c r="D395">
        <v>2000</v>
      </c>
      <c r="E395" t="s">
        <v>33</v>
      </c>
      <c r="F395" t="s">
        <v>64</v>
      </c>
      <c r="G395">
        <v>1.47</v>
      </c>
      <c r="H395">
        <v>0.19</v>
      </c>
      <c r="I395">
        <v>0.17</v>
      </c>
      <c r="J395">
        <v>3.39</v>
      </c>
      <c r="K395">
        <f>SUM(G395:J395)</f>
        <v>5.22</v>
      </c>
      <c r="L395">
        <f>IF(K395&gt;20,10%,5%)</f>
        <v>0.05</v>
      </c>
      <c r="M395">
        <f>K395*L395</f>
        <v>0.26100000000000001</v>
      </c>
      <c r="N395">
        <f>LOOKUP(K395,Lookup!$A$2:$A$5,Lookup!$B$2:$B$5)</f>
        <v>0.1</v>
      </c>
      <c r="O395">
        <f>K395*N395</f>
        <v>0.52200000000000002</v>
      </c>
      <c r="P395">
        <f>K395-M395+O395</f>
        <v>5.4809999999999999</v>
      </c>
    </row>
    <row r="396" spans="1:16">
      <c r="A396">
        <v>395</v>
      </c>
      <c r="B396" t="s">
        <v>417</v>
      </c>
      <c r="C396" t="s">
        <v>44</v>
      </c>
      <c r="D396">
        <v>2008</v>
      </c>
      <c r="E396" t="s">
        <v>48</v>
      </c>
      <c r="F396" t="s">
        <v>210</v>
      </c>
      <c r="G396">
        <v>1.03</v>
      </c>
      <c r="H396">
        <v>0</v>
      </c>
      <c r="I396">
        <v>0.32</v>
      </c>
      <c r="J396">
        <v>3.38</v>
      </c>
      <c r="K396">
        <f>SUM(G396:J396)</f>
        <v>4.7300000000000004</v>
      </c>
      <c r="L396">
        <f>IF(K396&gt;20,10%,5%)</f>
        <v>0.05</v>
      </c>
      <c r="M396">
        <f>K396*L396</f>
        <v>0.23650000000000004</v>
      </c>
      <c r="N396">
        <f>LOOKUP(K396,Lookup!$A$2:$A$5,Lookup!$B$2:$B$5)</f>
        <v>0.1</v>
      </c>
      <c r="O396">
        <f>K396*N396</f>
        <v>0.47300000000000009</v>
      </c>
      <c r="P396">
        <f>K396-M396+O396</f>
        <v>4.9664999999999999</v>
      </c>
    </row>
    <row r="397" spans="1:16">
      <c r="A397">
        <v>396</v>
      </c>
      <c r="B397" t="s">
        <v>418</v>
      </c>
      <c r="C397" t="s">
        <v>72</v>
      </c>
      <c r="D397">
        <v>2015</v>
      </c>
      <c r="E397" t="s">
        <v>48</v>
      </c>
      <c r="F397" t="s">
        <v>188</v>
      </c>
      <c r="G397">
        <v>1.35</v>
      </c>
      <c r="H397">
        <v>0.48</v>
      </c>
      <c r="I397">
        <v>0.47</v>
      </c>
      <c r="J397">
        <v>3.38</v>
      </c>
      <c r="K397">
        <f>SUM(G397:J397)</f>
        <v>5.68</v>
      </c>
      <c r="L397">
        <f>IF(K397&gt;20,10%,5%)</f>
        <v>0.05</v>
      </c>
      <c r="M397">
        <f>K397*L397</f>
        <v>0.28399999999999997</v>
      </c>
      <c r="N397">
        <f>LOOKUP(K397,Lookup!$A$2:$A$5,Lookup!$B$2:$B$5)</f>
        <v>0.1</v>
      </c>
      <c r="O397">
        <f>K397*N397</f>
        <v>0.56799999999999995</v>
      </c>
      <c r="P397">
        <f>K397-M397+O397</f>
        <v>5.9639999999999995</v>
      </c>
    </row>
    <row r="398" spans="1:16">
      <c r="A398">
        <v>397</v>
      </c>
      <c r="B398" t="s">
        <v>419</v>
      </c>
      <c r="C398" t="s">
        <v>31</v>
      </c>
      <c r="D398">
        <v>2009</v>
      </c>
      <c r="E398" t="s">
        <v>48</v>
      </c>
      <c r="F398" t="s">
        <v>19</v>
      </c>
      <c r="G398">
        <v>0.94</v>
      </c>
      <c r="H398">
        <v>0.74</v>
      </c>
      <c r="I398">
        <v>0.27</v>
      </c>
      <c r="J398">
        <v>3.38</v>
      </c>
      <c r="K398">
        <f>SUM(G398:J398)</f>
        <v>5.33</v>
      </c>
      <c r="L398">
        <f>IF(K398&gt;20,10%,5%)</f>
        <v>0.05</v>
      </c>
      <c r="M398">
        <f>K398*L398</f>
        <v>0.26650000000000001</v>
      </c>
      <c r="N398">
        <f>LOOKUP(K398,Lookup!$A$2:$A$5,Lookup!$B$2:$B$5)</f>
        <v>0.1</v>
      </c>
      <c r="O398">
        <f>K398*N398</f>
        <v>0.53300000000000003</v>
      </c>
      <c r="P398">
        <f>K398-M398+O398</f>
        <v>5.5965000000000007</v>
      </c>
    </row>
    <row r="399" spans="1:16">
      <c r="A399">
        <v>398</v>
      </c>
      <c r="B399" t="s">
        <v>420</v>
      </c>
      <c r="C399" t="s">
        <v>91</v>
      </c>
      <c r="D399">
        <v>1998</v>
      </c>
      <c r="E399" t="s">
        <v>77</v>
      </c>
      <c r="F399" t="s">
        <v>421</v>
      </c>
      <c r="G399">
        <v>0.76</v>
      </c>
      <c r="H399">
        <v>0</v>
      </c>
      <c r="I399">
        <v>0.13</v>
      </c>
      <c r="J399">
        <v>3.36</v>
      </c>
      <c r="K399">
        <f>SUM(G399:J399)</f>
        <v>4.25</v>
      </c>
      <c r="L399">
        <f>IF(K399&gt;20,10%,5%)</f>
        <v>0.05</v>
      </c>
      <c r="M399">
        <f>K399*L399</f>
        <v>0.21250000000000002</v>
      </c>
      <c r="N399">
        <f>LOOKUP(K399,Lookup!$A$2:$A$5,Lookup!$B$2:$B$5)</f>
        <v>0.1</v>
      </c>
      <c r="O399">
        <f>K399*N399</f>
        <v>0.42500000000000004</v>
      </c>
      <c r="P399">
        <f>K399-M399+O399</f>
        <v>4.4624999999999995</v>
      </c>
    </row>
    <row r="400" spans="1:16">
      <c r="A400">
        <v>399</v>
      </c>
      <c r="B400" t="s">
        <v>422</v>
      </c>
      <c r="C400" t="s">
        <v>83</v>
      </c>
      <c r="D400">
        <v>2000</v>
      </c>
      <c r="E400" t="s">
        <v>48</v>
      </c>
      <c r="F400" t="s">
        <v>19</v>
      </c>
      <c r="G400">
        <v>0.67</v>
      </c>
      <c r="H400">
        <v>0.73</v>
      </c>
      <c r="I400">
        <v>0.06</v>
      </c>
      <c r="J400">
        <v>3.36</v>
      </c>
      <c r="K400">
        <f>SUM(G400:J400)</f>
        <v>4.82</v>
      </c>
      <c r="L400">
        <f>IF(K400&gt;20,10%,5%)</f>
        <v>0.05</v>
      </c>
      <c r="M400">
        <f>K400*L400</f>
        <v>0.24100000000000002</v>
      </c>
      <c r="N400">
        <f>LOOKUP(K400,Lookup!$A$2:$A$5,Lookup!$B$2:$B$5)</f>
        <v>0.1</v>
      </c>
      <c r="O400">
        <f>K400*N400</f>
        <v>0.48200000000000004</v>
      </c>
      <c r="P400">
        <f>K400-M400+O400</f>
        <v>5.0610000000000008</v>
      </c>
    </row>
    <row r="401" spans="1:16">
      <c r="A401">
        <v>400</v>
      </c>
      <c r="B401" t="s">
        <v>423</v>
      </c>
      <c r="C401" t="s">
        <v>31</v>
      </c>
      <c r="D401">
        <v>2008</v>
      </c>
      <c r="E401" t="s">
        <v>29</v>
      </c>
      <c r="F401" t="s">
        <v>19</v>
      </c>
      <c r="G401">
        <v>1.61</v>
      </c>
      <c r="H401">
        <v>0.82</v>
      </c>
      <c r="I401">
        <v>0.28000000000000003</v>
      </c>
      <c r="J401">
        <v>3.36</v>
      </c>
      <c r="K401">
        <f>SUM(G401:J401)</f>
        <v>6.07</v>
      </c>
      <c r="L401">
        <f>IF(K401&gt;20,10%,5%)</f>
        <v>0.05</v>
      </c>
      <c r="M401">
        <f>K401*L401</f>
        <v>0.30350000000000005</v>
      </c>
      <c r="N401">
        <f>LOOKUP(K401,Lookup!$A$2:$A$5,Lookup!$B$2:$B$5)</f>
        <v>0.1</v>
      </c>
      <c r="O401">
        <f>K401*N401</f>
        <v>0.6070000000000001</v>
      </c>
      <c r="P401">
        <f>K401-M401+O401</f>
        <v>6.3735000000000008</v>
      </c>
    </row>
    <row r="402" spans="1:16">
      <c r="A402">
        <v>401</v>
      </c>
      <c r="B402" t="s">
        <v>424</v>
      </c>
      <c r="C402" t="s">
        <v>91</v>
      </c>
      <c r="D402">
        <v>1998</v>
      </c>
      <c r="E402" t="s">
        <v>88</v>
      </c>
      <c r="F402" t="s">
        <v>389</v>
      </c>
      <c r="G402">
        <v>1.53</v>
      </c>
      <c r="H402">
        <v>0</v>
      </c>
      <c r="I402">
        <v>0.18</v>
      </c>
      <c r="J402">
        <v>3.34</v>
      </c>
      <c r="K402">
        <f>SUM(G402:J402)</f>
        <v>5.05</v>
      </c>
      <c r="L402">
        <f>IF(K402&gt;20,10%,5%)</f>
        <v>0.05</v>
      </c>
      <c r="M402">
        <f>K402*L402</f>
        <v>0.2525</v>
      </c>
      <c r="N402">
        <f>LOOKUP(K402,Lookup!$A$2:$A$5,Lookup!$B$2:$B$5)</f>
        <v>0.1</v>
      </c>
      <c r="O402">
        <f>K402*N402</f>
        <v>0.505</v>
      </c>
      <c r="P402">
        <f>K402-M402+O402</f>
        <v>5.3024999999999993</v>
      </c>
    </row>
    <row r="403" spans="1:16">
      <c r="A403">
        <v>402</v>
      </c>
      <c r="B403" t="s">
        <v>339</v>
      </c>
      <c r="C403" t="s">
        <v>44</v>
      </c>
      <c r="D403">
        <v>2013</v>
      </c>
      <c r="E403" t="s">
        <v>48</v>
      </c>
      <c r="F403" t="s">
        <v>97</v>
      </c>
      <c r="G403">
        <v>1.1399999999999999</v>
      </c>
      <c r="H403">
        <v>0.01</v>
      </c>
      <c r="I403">
        <v>0.28999999999999998</v>
      </c>
      <c r="J403">
        <v>3.34</v>
      </c>
      <c r="K403">
        <f>SUM(G403:J403)</f>
        <v>4.7799999999999994</v>
      </c>
      <c r="L403">
        <f>IF(K403&gt;20,10%,5%)</f>
        <v>0.05</v>
      </c>
      <c r="M403">
        <f>K403*L403</f>
        <v>0.23899999999999999</v>
      </c>
      <c r="N403">
        <f>LOOKUP(K403,Lookup!$A$2:$A$5,Lookup!$B$2:$B$5)</f>
        <v>0.1</v>
      </c>
      <c r="O403">
        <f>K403*N403</f>
        <v>0.47799999999999998</v>
      </c>
      <c r="P403">
        <f>K403-M403+O403</f>
        <v>5.0189999999999992</v>
      </c>
    </row>
    <row r="404" spans="1:16">
      <c r="A404">
        <v>403</v>
      </c>
      <c r="B404" t="s">
        <v>425</v>
      </c>
      <c r="C404" t="s">
        <v>31</v>
      </c>
      <c r="D404">
        <v>2006</v>
      </c>
      <c r="E404" t="s">
        <v>33</v>
      </c>
      <c r="F404" t="s">
        <v>19</v>
      </c>
      <c r="G404">
        <v>0.99</v>
      </c>
      <c r="H404">
        <v>2.3199999999999998</v>
      </c>
      <c r="I404">
        <v>0.02</v>
      </c>
      <c r="J404">
        <v>3.33</v>
      </c>
      <c r="K404">
        <f>SUM(G404:J404)</f>
        <v>6.66</v>
      </c>
      <c r="L404">
        <f>IF(K404&gt;20,10%,5%)</f>
        <v>0.05</v>
      </c>
      <c r="M404">
        <f>K404*L404</f>
        <v>0.33300000000000002</v>
      </c>
      <c r="N404">
        <f>LOOKUP(K404,Lookup!$A$2:$A$5,Lookup!$B$2:$B$5)</f>
        <v>0.1</v>
      </c>
      <c r="O404">
        <f>K404*N404</f>
        <v>0.66600000000000004</v>
      </c>
      <c r="P404">
        <f>K404-M404+O404</f>
        <v>6.9930000000000003</v>
      </c>
    </row>
    <row r="405" spans="1:16">
      <c r="A405">
        <v>404</v>
      </c>
      <c r="B405" t="s">
        <v>426</v>
      </c>
      <c r="C405" t="s">
        <v>51</v>
      </c>
      <c r="D405">
        <v>2002</v>
      </c>
      <c r="E405" t="s">
        <v>36</v>
      </c>
      <c r="F405" t="s">
        <v>115</v>
      </c>
      <c r="G405">
        <v>1.29</v>
      </c>
      <c r="H405">
        <v>0.12</v>
      </c>
      <c r="I405">
        <v>0.46</v>
      </c>
      <c r="J405">
        <v>3.33</v>
      </c>
      <c r="K405">
        <f>SUM(G405:J405)</f>
        <v>5.2</v>
      </c>
      <c r="L405">
        <f>IF(K405&gt;20,10%,5%)</f>
        <v>0.05</v>
      </c>
      <c r="M405">
        <f>K405*L405</f>
        <v>0.26</v>
      </c>
      <c r="N405">
        <f>LOOKUP(K405,Lookup!$A$2:$A$5,Lookup!$B$2:$B$5)</f>
        <v>0.1</v>
      </c>
      <c r="O405">
        <f>K405*N405</f>
        <v>0.52</v>
      </c>
      <c r="P405">
        <f>K405-M405+O405</f>
        <v>5.4600000000000009</v>
      </c>
    </row>
    <row r="406" spans="1:16">
      <c r="A406">
        <v>405</v>
      </c>
      <c r="B406" t="s">
        <v>427</v>
      </c>
      <c r="C406" t="s">
        <v>51</v>
      </c>
      <c r="D406">
        <v>2002</v>
      </c>
      <c r="E406" t="s">
        <v>2</v>
      </c>
      <c r="F406" t="s">
        <v>64</v>
      </c>
      <c r="G406">
        <v>1.01</v>
      </c>
      <c r="H406">
        <v>0.56999999999999995</v>
      </c>
      <c r="I406">
        <v>0.3</v>
      </c>
      <c r="J406">
        <v>3.33</v>
      </c>
      <c r="K406">
        <f>SUM(G406:J406)</f>
        <v>5.21</v>
      </c>
      <c r="L406">
        <f>IF(K406&gt;20,10%,5%)</f>
        <v>0.05</v>
      </c>
      <c r="M406">
        <f>K406*L406</f>
        <v>0.26050000000000001</v>
      </c>
      <c r="N406">
        <f>LOOKUP(K406,Lookup!$A$2:$A$5,Lookup!$B$2:$B$5)</f>
        <v>0.1</v>
      </c>
      <c r="O406">
        <f>K406*N406</f>
        <v>0.52100000000000002</v>
      </c>
      <c r="P406">
        <f>K406-M406+O406</f>
        <v>5.4704999999999995</v>
      </c>
    </row>
    <row r="407" spans="1:16">
      <c r="A407">
        <v>406</v>
      </c>
      <c r="B407" t="s">
        <v>428</v>
      </c>
      <c r="C407" t="s">
        <v>17</v>
      </c>
      <c r="D407">
        <v>2012</v>
      </c>
      <c r="E407" t="s">
        <v>33</v>
      </c>
      <c r="F407" t="s">
        <v>19</v>
      </c>
      <c r="G407">
        <v>1.17</v>
      </c>
      <c r="H407">
        <v>0.76</v>
      </c>
      <c r="I407">
        <v>0.24</v>
      </c>
      <c r="J407">
        <v>3.32</v>
      </c>
      <c r="K407">
        <f>SUM(G407:J407)</f>
        <v>5.49</v>
      </c>
      <c r="L407">
        <f>IF(K407&gt;20,10%,5%)</f>
        <v>0.05</v>
      </c>
      <c r="M407">
        <f>K407*L407</f>
        <v>0.27450000000000002</v>
      </c>
      <c r="N407">
        <f>LOOKUP(K407,Lookup!$A$2:$A$5,Lookup!$B$2:$B$5)</f>
        <v>0.1</v>
      </c>
      <c r="O407">
        <f>K407*N407</f>
        <v>0.54900000000000004</v>
      </c>
      <c r="P407">
        <f>K407-M407+O407</f>
        <v>5.7645000000000008</v>
      </c>
    </row>
    <row r="408" spans="1:16">
      <c r="A408">
        <v>407</v>
      </c>
      <c r="B408" t="s">
        <v>429</v>
      </c>
      <c r="C408" t="s">
        <v>51</v>
      </c>
      <c r="D408">
        <v>2005</v>
      </c>
      <c r="E408" t="s">
        <v>48</v>
      </c>
      <c r="F408" t="s">
        <v>200</v>
      </c>
      <c r="G408">
        <v>1.39</v>
      </c>
      <c r="H408">
        <v>0.03</v>
      </c>
      <c r="I408">
        <v>0.43</v>
      </c>
      <c r="J408">
        <v>3.32</v>
      </c>
      <c r="K408">
        <f>SUM(G408:J408)</f>
        <v>5.17</v>
      </c>
      <c r="L408">
        <f>IF(K408&gt;20,10%,5%)</f>
        <v>0.05</v>
      </c>
      <c r="M408">
        <f>K408*L408</f>
        <v>0.25850000000000001</v>
      </c>
      <c r="N408">
        <f>LOOKUP(K408,Lookup!$A$2:$A$5,Lookup!$B$2:$B$5)</f>
        <v>0.1</v>
      </c>
      <c r="O408">
        <f>K408*N408</f>
        <v>0.51700000000000002</v>
      </c>
      <c r="P408">
        <f>K408-M408+O408</f>
        <v>5.4285000000000005</v>
      </c>
    </row>
    <row r="409" spans="1:16">
      <c r="A409">
        <v>408</v>
      </c>
      <c r="B409" t="s">
        <v>430</v>
      </c>
      <c r="C409" t="s">
        <v>51</v>
      </c>
      <c r="D409">
        <v>2001</v>
      </c>
      <c r="E409" t="s">
        <v>36</v>
      </c>
      <c r="F409" t="s">
        <v>49</v>
      </c>
      <c r="G409">
        <v>1.05</v>
      </c>
      <c r="H409">
        <v>0.05</v>
      </c>
      <c r="I409">
        <v>0.22</v>
      </c>
      <c r="J409">
        <v>3.31</v>
      </c>
      <c r="K409">
        <f>SUM(G409:J409)</f>
        <v>4.63</v>
      </c>
      <c r="L409">
        <f>IF(K409&gt;20,10%,5%)</f>
        <v>0.05</v>
      </c>
      <c r="M409">
        <f>K409*L409</f>
        <v>0.23150000000000001</v>
      </c>
      <c r="N409">
        <f>LOOKUP(K409,Lookup!$A$2:$A$5,Lookup!$B$2:$B$5)</f>
        <v>0.1</v>
      </c>
      <c r="O409">
        <f>K409*N409</f>
        <v>0.46300000000000002</v>
      </c>
      <c r="P409">
        <f>K409-M409+O409</f>
        <v>4.8615000000000004</v>
      </c>
    </row>
    <row r="410" spans="1:16">
      <c r="A410">
        <v>409</v>
      </c>
      <c r="B410" t="s">
        <v>431</v>
      </c>
      <c r="C410" t="s">
        <v>51</v>
      </c>
      <c r="D410">
        <v>2003</v>
      </c>
      <c r="E410" t="s">
        <v>48</v>
      </c>
      <c r="F410" t="s">
        <v>115</v>
      </c>
      <c r="G410">
        <v>1.28</v>
      </c>
      <c r="H410">
        <v>0.05</v>
      </c>
      <c r="I410">
        <v>0.46</v>
      </c>
      <c r="J410">
        <v>3.28</v>
      </c>
      <c r="K410">
        <f>SUM(G410:J410)</f>
        <v>5.07</v>
      </c>
      <c r="L410">
        <f>IF(K410&gt;20,10%,5%)</f>
        <v>0.05</v>
      </c>
      <c r="M410">
        <f>K410*L410</f>
        <v>0.2535</v>
      </c>
      <c r="N410">
        <f>LOOKUP(K410,Lookup!$A$2:$A$5,Lookup!$B$2:$B$5)</f>
        <v>0.1</v>
      </c>
      <c r="O410">
        <f>K410*N410</f>
        <v>0.50700000000000001</v>
      </c>
      <c r="P410">
        <f>K410-M410+O410</f>
        <v>5.3235000000000001</v>
      </c>
    </row>
    <row r="411" spans="1:16">
      <c r="A411">
        <v>410</v>
      </c>
      <c r="B411" t="s">
        <v>432</v>
      </c>
      <c r="C411" t="s">
        <v>72</v>
      </c>
      <c r="D411">
        <v>2015</v>
      </c>
      <c r="E411" t="s">
        <v>48</v>
      </c>
      <c r="F411" t="s">
        <v>97</v>
      </c>
      <c r="G411">
        <v>1.92</v>
      </c>
      <c r="H411">
        <v>0.06</v>
      </c>
      <c r="I411">
        <v>0.5</v>
      </c>
      <c r="J411">
        <v>3.28</v>
      </c>
      <c r="K411">
        <f>SUM(G411:J411)</f>
        <v>5.76</v>
      </c>
      <c r="L411">
        <f>IF(K411&gt;20,10%,5%)</f>
        <v>0.05</v>
      </c>
      <c r="M411">
        <f>K411*L411</f>
        <v>0.28799999999999998</v>
      </c>
      <c r="N411">
        <f>LOOKUP(K411,Lookup!$A$2:$A$5,Lookup!$B$2:$B$5)</f>
        <v>0.1</v>
      </c>
      <c r="O411">
        <f>K411*N411</f>
        <v>0.57599999999999996</v>
      </c>
      <c r="P411">
        <f>K411-M411+O411</f>
        <v>6.0479999999999992</v>
      </c>
    </row>
    <row r="412" spans="1:16">
      <c r="A412">
        <v>411</v>
      </c>
      <c r="B412" t="s">
        <v>205</v>
      </c>
      <c r="C412" t="s">
        <v>145</v>
      </c>
      <c r="D412">
        <v>2014</v>
      </c>
      <c r="E412" t="s">
        <v>36</v>
      </c>
      <c r="F412" t="s">
        <v>66</v>
      </c>
      <c r="G412">
        <v>0.92</v>
      </c>
      <c r="H412">
        <v>0</v>
      </c>
      <c r="I412">
        <v>0.23</v>
      </c>
      <c r="J412">
        <v>3.28</v>
      </c>
      <c r="K412">
        <f>SUM(G412:J412)</f>
        <v>4.43</v>
      </c>
      <c r="L412">
        <f>IF(K412&gt;20,10%,5%)</f>
        <v>0.05</v>
      </c>
      <c r="M412">
        <f>K412*L412</f>
        <v>0.2215</v>
      </c>
      <c r="N412">
        <f>LOOKUP(K412,Lookup!$A$2:$A$5,Lookup!$B$2:$B$5)</f>
        <v>0.1</v>
      </c>
      <c r="O412">
        <f>K412*N412</f>
        <v>0.443</v>
      </c>
      <c r="P412">
        <f>K412-M412+O412</f>
        <v>4.6514999999999995</v>
      </c>
    </row>
    <row r="413" spans="1:16">
      <c r="A413">
        <v>412</v>
      </c>
      <c r="B413" t="s">
        <v>433</v>
      </c>
      <c r="C413" t="s">
        <v>51</v>
      </c>
      <c r="D413">
        <v>2003</v>
      </c>
      <c r="E413" t="s">
        <v>48</v>
      </c>
      <c r="F413" t="s">
        <v>66</v>
      </c>
      <c r="G413">
        <v>1.05</v>
      </c>
      <c r="H413">
        <v>0.02</v>
      </c>
      <c r="I413">
        <v>0.31</v>
      </c>
      <c r="J413">
        <v>3.27</v>
      </c>
      <c r="K413">
        <f>SUM(G413:J413)</f>
        <v>4.6500000000000004</v>
      </c>
      <c r="L413">
        <f>IF(K413&gt;20,10%,5%)</f>
        <v>0.05</v>
      </c>
      <c r="M413">
        <f>K413*L413</f>
        <v>0.23250000000000004</v>
      </c>
      <c r="N413">
        <f>LOOKUP(K413,Lookup!$A$2:$A$5,Lookup!$B$2:$B$5)</f>
        <v>0.1</v>
      </c>
      <c r="O413">
        <f>K413*N413</f>
        <v>0.46500000000000008</v>
      </c>
      <c r="P413">
        <f>K413-M413+O413</f>
        <v>4.8825000000000003</v>
      </c>
    </row>
    <row r="414" spans="1:16">
      <c r="A414">
        <v>413</v>
      </c>
      <c r="B414" t="s">
        <v>434</v>
      </c>
      <c r="C414" t="s">
        <v>17</v>
      </c>
      <c r="D414">
        <v>2008</v>
      </c>
      <c r="E414" t="s">
        <v>33</v>
      </c>
      <c r="F414" t="s">
        <v>19</v>
      </c>
      <c r="G414">
        <v>1.1299999999999999</v>
      </c>
      <c r="H414">
        <v>0.46</v>
      </c>
      <c r="I414">
        <v>0.32</v>
      </c>
      <c r="J414">
        <v>3.27</v>
      </c>
      <c r="K414">
        <f>SUM(G414:J414)</f>
        <v>5.18</v>
      </c>
      <c r="L414">
        <f>IF(K414&gt;20,10%,5%)</f>
        <v>0.05</v>
      </c>
      <c r="M414">
        <f>K414*L414</f>
        <v>0.25900000000000001</v>
      </c>
      <c r="N414">
        <f>LOOKUP(K414,Lookup!$A$2:$A$5,Lookup!$B$2:$B$5)</f>
        <v>0.1</v>
      </c>
      <c r="O414">
        <f>K414*N414</f>
        <v>0.51800000000000002</v>
      </c>
      <c r="P414">
        <f>K414-M414+O414</f>
        <v>5.4389999999999992</v>
      </c>
    </row>
    <row r="415" spans="1:16">
      <c r="A415">
        <v>414</v>
      </c>
      <c r="B415" t="s">
        <v>435</v>
      </c>
      <c r="C415" t="s">
        <v>134</v>
      </c>
      <c r="D415">
        <v>2009</v>
      </c>
      <c r="E415" t="s">
        <v>23</v>
      </c>
      <c r="F415" t="s">
        <v>64</v>
      </c>
      <c r="G415">
        <v>1.59</v>
      </c>
      <c r="H415">
        <v>0.31</v>
      </c>
      <c r="I415">
        <v>0.87</v>
      </c>
      <c r="J415">
        <v>3.27</v>
      </c>
      <c r="K415">
        <f>SUM(G415:J415)</f>
        <v>6.04</v>
      </c>
      <c r="L415">
        <f>IF(K415&gt;20,10%,5%)</f>
        <v>0.05</v>
      </c>
      <c r="M415">
        <f>K415*L415</f>
        <v>0.30200000000000005</v>
      </c>
      <c r="N415">
        <f>LOOKUP(K415,Lookup!$A$2:$A$5,Lookup!$B$2:$B$5)</f>
        <v>0.1</v>
      </c>
      <c r="O415">
        <f>K415*N415</f>
        <v>0.60400000000000009</v>
      </c>
      <c r="P415">
        <f>K415-M415+O415</f>
        <v>6.3419999999999996</v>
      </c>
    </row>
    <row r="416" spans="1:16">
      <c r="A416">
        <v>415</v>
      </c>
      <c r="B416" t="s">
        <v>436</v>
      </c>
      <c r="C416" t="s">
        <v>70</v>
      </c>
      <c r="D416">
        <v>2015</v>
      </c>
      <c r="E416" t="s">
        <v>48</v>
      </c>
      <c r="F416" t="s">
        <v>180</v>
      </c>
      <c r="G416">
        <v>0.19</v>
      </c>
      <c r="H416">
        <v>2.78</v>
      </c>
      <c r="I416">
        <v>0.04</v>
      </c>
      <c r="J416">
        <v>3.26</v>
      </c>
      <c r="K416">
        <f>SUM(G416:J416)</f>
        <v>6.27</v>
      </c>
      <c r="L416">
        <f>IF(K416&gt;20,10%,5%)</f>
        <v>0.05</v>
      </c>
      <c r="M416">
        <f>K416*L416</f>
        <v>0.3135</v>
      </c>
      <c r="N416">
        <f>LOOKUP(K416,Lookup!$A$2:$A$5,Lookup!$B$2:$B$5)</f>
        <v>0.1</v>
      </c>
      <c r="O416">
        <f>K416*N416</f>
        <v>0.627</v>
      </c>
      <c r="P416">
        <f>K416-M416+O416</f>
        <v>6.583499999999999</v>
      </c>
    </row>
    <row r="417" spans="1:16">
      <c r="A417">
        <v>416</v>
      </c>
      <c r="B417" t="s">
        <v>437</v>
      </c>
      <c r="C417" t="s">
        <v>91</v>
      </c>
      <c r="D417">
        <v>1995</v>
      </c>
      <c r="E417" t="s">
        <v>77</v>
      </c>
      <c r="F417" t="s">
        <v>64</v>
      </c>
      <c r="G417">
        <v>1.3</v>
      </c>
      <c r="H417">
        <v>0.77</v>
      </c>
      <c r="I417">
        <v>0.22</v>
      </c>
      <c r="J417">
        <v>3.24</v>
      </c>
      <c r="K417">
        <f>SUM(G417:J417)</f>
        <v>5.5300000000000011</v>
      </c>
      <c r="L417">
        <f>IF(K417&gt;20,10%,5%)</f>
        <v>0.05</v>
      </c>
      <c r="M417">
        <f>K417*L417</f>
        <v>0.27650000000000008</v>
      </c>
      <c r="N417">
        <f>LOOKUP(K417,Lookup!$A$2:$A$5,Lookup!$B$2:$B$5)</f>
        <v>0.1</v>
      </c>
      <c r="O417">
        <f>K417*N417</f>
        <v>0.55300000000000016</v>
      </c>
      <c r="P417">
        <f>K417-M417+O417</f>
        <v>5.8065000000000007</v>
      </c>
    </row>
    <row r="418" spans="1:16">
      <c r="A418">
        <v>417</v>
      </c>
      <c r="B418" t="s">
        <v>114</v>
      </c>
      <c r="C418" t="s">
        <v>145</v>
      </c>
      <c r="D418">
        <v>2015</v>
      </c>
      <c r="E418" t="s">
        <v>18</v>
      </c>
      <c r="F418" t="s">
        <v>115</v>
      </c>
      <c r="G418">
        <v>2.11</v>
      </c>
      <c r="H418">
        <v>0</v>
      </c>
      <c r="I418">
        <v>0.23</v>
      </c>
      <c r="J418">
        <v>3.23</v>
      </c>
      <c r="K418">
        <f>SUM(G418:J418)</f>
        <v>5.57</v>
      </c>
      <c r="L418">
        <f>IF(K418&gt;20,10%,5%)</f>
        <v>0.05</v>
      </c>
      <c r="M418">
        <f>K418*L418</f>
        <v>0.27850000000000003</v>
      </c>
      <c r="N418">
        <f>LOOKUP(K418,Lookup!$A$2:$A$5,Lookup!$B$2:$B$5)</f>
        <v>0.1</v>
      </c>
      <c r="O418">
        <f>K418*N418</f>
        <v>0.55700000000000005</v>
      </c>
      <c r="P418">
        <f>K418-M418+O418</f>
        <v>5.8485000000000005</v>
      </c>
    </row>
    <row r="419" spans="1:16">
      <c r="A419">
        <v>418</v>
      </c>
      <c r="B419" t="s">
        <v>438</v>
      </c>
      <c r="C419" t="s">
        <v>47</v>
      </c>
      <c r="D419">
        <v>2011</v>
      </c>
      <c r="E419" t="s">
        <v>88</v>
      </c>
      <c r="F419" t="s">
        <v>49</v>
      </c>
      <c r="G419">
        <v>1.33</v>
      </c>
      <c r="H419">
        <v>0.12</v>
      </c>
      <c r="I419">
        <v>0.51</v>
      </c>
      <c r="J419">
        <v>3.23</v>
      </c>
      <c r="K419">
        <f>SUM(G419:J419)</f>
        <v>5.19</v>
      </c>
      <c r="L419">
        <f>IF(K419&gt;20,10%,5%)</f>
        <v>0.05</v>
      </c>
      <c r="M419">
        <f>K419*L419</f>
        <v>0.25950000000000001</v>
      </c>
      <c r="N419">
        <f>LOOKUP(K419,Lookup!$A$2:$A$5,Lookup!$B$2:$B$5)</f>
        <v>0.1</v>
      </c>
      <c r="O419">
        <f>K419*N419</f>
        <v>0.51900000000000002</v>
      </c>
      <c r="P419">
        <f>K419-M419+O419</f>
        <v>5.4495000000000005</v>
      </c>
    </row>
    <row r="420" spans="1:16">
      <c r="A420">
        <v>419</v>
      </c>
      <c r="B420" t="s">
        <v>439</v>
      </c>
      <c r="C420" t="s">
        <v>72</v>
      </c>
      <c r="D420">
        <v>2015</v>
      </c>
      <c r="E420" t="s">
        <v>18</v>
      </c>
      <c r="F420" t="s">
        <v>115</v>
      </c>
      <c r="G420">
        <v>0.3</v>
      </c>
      <c r="H420">
        <v>0</v>
      </c>
      <c r="I420">
        <v>0.59</v>
      </c>
      <c r="J420">
        <v>3.22</v>
      </c>
      <c r="K420">
        <f>SUM(G420:J420)</f>
        <v>4.1100000000000003</v>
      </c>
      <c r="L420">
        <f>IF(K420&gt;20,10%,5%)</f>
        <v>0.05</v>
      </c>
      <c r="M420">
        <f>K420*L420</f>
        <v>0.20550000000000002</v>
      </c>
      <c r="N420">
        <f>LOOKUP(K420,Lookup!$A$2:$A$5,Lookup!$B$2:$B$5)</f>
        <v>0.1</v>
      </c>
      <c r="O420">
        <f>K420*N420</f>
        <v>0.41100000000000003</v>
      </c>
      <c r="P420">
        <f>K420-M420+O420</f>
        <v>4.3155000000000001</v>
      </c>
    </row>
    <row r="421" spans="1:16">
      <c r="A421">
        <v>420</v>
      </c>
      <c r="B421" t="s">
        <v>440</v>
      </c>
      <c r="C421" t="s">
        <v>70</v>
      </c>
      <c r="D421">
        <v>2014</v>
      </c>
      <c r="E421" t="s">
        <v>27</v>
      </c>
      <c r="F421" t="s">
        <v>19</v>
      </c>
      <c r="G421">
        <v>0</v>
      </c>
      <c r="H421">
        <v>3.18</v>
      </c>
      <c r="I421">
        <v>0</v>
      </c>
      <c r="J421">
        <v>3.22</v>
      </c>
      <c r="K421">
        <f>SUM(G421:J421)</f>
        <v>6.4</v>
      </c>
      <c r="L421">
        <f>IF(K421&gt;20,10%,5%)</f>
        <v>0.05</v>
      </c>
      <c r="M421">
        <f>K421*L421</f>
        <v>0.32000000000000006</v>
      </c>
      <c r="N421">
        <f>LOOKUP(K421,Lookup!$A$2:$A$5,Lookup!$B$2:$B$5)</f>
        <v>0.1</v>
      </c>
      <c r="O421">
        <f>K421*N421</f>
        <v>0.64000000000000012</v>
      </c>
      <c r="P421">
        <f>K421-M421+O421</f>
        <v>6.7200000000000006</v>
      </c>
    </row>
    <row r="422" spans="1:16">
      <c r="A422">
        <v>421</v>
      </c>
      <c r="B422" t="s">
        <v>441</v>
      </c>
      <c r="C422" t="s">
        <v>91</v>
      </c>
      <c r="D422">
        <v>1999</v>
      </c>
      <c r="E422" t="s">
        <v>36</v>
      </c>
      <c r="F422" t="s">
        <v>115</v>
      </c>
      <c r="G422">
        <v>1.33</v>
      </c>
      <c r="H422">
        <v>0</v>
      </c>
      <c r="I422">
        <v>0.16</v>
      </c>
      <c r="J422">
        <v>3.21</v>
      </c>
      <c r="K422">
        <f>SUM(G422:J422)</f>
        <v>4.7</v>
      </c>
      <c r="L422">
        <f>IF(K422&gt;20,10%,5%)</f>
        <v>0.05</v>
      </c>
      <c r="M422">
        <f>K422*L422</f>
        <v>0.23500000000000001</v>
      </c>
      <c r="N422">
        <f>LOOKUP(K422,Lookup!$A$2:$A$5,Lookup!$B$2:$B$5)</f>
        <v>0.1</v>
      </c>
      <c r="O422">
        <f>K422*N422</f>
        <v>0.47000000000000003</v>
      </c>
      <c r="P422">
        <f>K422-M422+O422</f>
        <v>4.9349999999999996</v>
      </c>
    </row>
    <row r="423" spans="1:16">
      <c r="A423">
        <v>422</v>
      </c>
      <c r="B423" t="s">
        <v>442</v>
      </c>
      <c r="C423" t="s">
        <v>21</v>
      </c>
      <c r="D423">
        <v>1983</v>
      </c>
      <c r="E423" t="s">
        <v>18</v>
      </c>
      <c r="F423" t="s">
        <v>19</v>
      </c>
      <c r="G423">
        <v>0.1</v>
      </c>
      <c r="H423">
        <v>2.35</v>
      </c>
      <c r="I423">
        <v>0.02</v>
      </c>
      <c r="J423">
        <v>3.2</v>
      </c>
      <c r="K423">
        <f>SUM(G423:J423)</f>
        <v>5.67</v>
      </c>
      <c r="L423">
        <f>IF(K423&gt;20,10%,5%)</f>
        <v>0.05</v>
      </c>
      <c r="M423">
        <f>K423*L423</f>
        <v>0.28350000000000003</v>
      </c>
      <c r="N423">
        <f>LOOKUP(K423,Lookup!$A$2:$A$5,Lookup!$B$2:$B$5)</f>
        <v>0.1</v>
      </c>
      <c r="O423">
        <f>K423*N423</f>
        <v>0.56700000000000006</v>
      </c>
      <c r="P423">
        <f>K423-M423+O423</f>
        <v>5.9535</v>
      </c>
    </row>
    <row r="424" spans="1:16">
      <c r="A424">
        <v>423</v>
      </c>
      <c r="B424" t="s">
        <v>443</v>
      </c>
      <c r="C424" t="s">
        <v>53</v>
      </c>
      <c r="D424">
        <v>1995</v>
      </c>
      <c r="E424" t="s">
        <v>77</v>
      </c>
      <c r="F424" t="s">
        <v>19</v>
      </c>
      <c r="G424">
        <v>0.72</v>
      </c>
      <c r="H424">
        <v>0.12</v>
      </c>
      <c r="I424">
        <v>0.1</v>
      </c>
      <c r="J424">
        <v>3.2</v>
      </c>
      <c r="K424">
        <f>SUM(G424:J424)</f>
        <v>4.1400000000000006</v>
      </c>
      <c r="L424">
        <f>IF(K424&gt;20,10%,5%)</f>
        <v>0.05</v>
      </c>
      <c r="M424">
        <f>K424*L424</f>
        <v>0.20700000000000005</v>
      </c>
      <c r="N424">
        <f>LOOKUP(K424,Lookup!$A$2:$A$5,Lookup!$B$2:$B$5)</f>
        <v>0.1</v>
      </c>
      <c r="O424">
        <f>K424*N424</f>
        <v>0.41400000000000009</v>
      </c>
      <c r="P424">
        <f>K424-M424+O424</f>
        <v>4.3470000000000004</v>
      </c>
    </row>
    <row r="425" spans="1:16">
      <c r="A425">
        <v>424</v>
      </c>
      <c r="B425" t="s">
        <v>444</v>
      </c>
      <c r="C425" t="s">
        <v>91</v>
      </c>
      <c r="D425">
        <v>2000</v>
      </c>
      <c r="E425" t="s">
        <v>77</v>
      </c>
      <c r="F425" t="s">
        <v>389</v>
      </c>
      <c r="G425">
        <v>1.21</v>
      </c>
      <c r="H425">
        <v>7.0000000000000007E-2</v>
      </c>
      <c r="I425">
        <v>0.16</v>
      </c>
      <c r="J425">
        <v>3.2</v>
      </c>
      <c r="K425">
        <f>SUM(G425:J425)</f>
        <v>4.6400000000000006</v>
      </c>
      <c r="L425">
        <f>IF(K425&gt;20,10%,5%)</f>
        <v>0.05</v>
      </c>
      <c r="M425">
        <f>K425*L425</f>
        <v>0.23200000000000004</v>
      </c>
      <c r="N425">
        <f>LOOKUP(K425,Lookup!$A$2:$A$5,Lookup!$B$2:$B$5)</f>
        <v>0.1</v>
      </c>
      <c r="O425">
        <f>K425*N425</f>
        <v>0.46400000000000008</v>
      </c>
      <c r="P425">
        <f>K425-M425+O425</f>
        <v>4.8720000000000008</v>
      </c>
    </row>
    <row r="426" spans="1:16">
      <c r="A426">
        <v>425</v>
      </c>
      <c r="B426" t="s">
        <v>445</v>
      </c>
      <c r="C426" t="s">
        <v>134</v>
      </c>
      <c r="D426">
        <v>2007</v>
      </c>
      <c r="E426" t="s">
        <v>27</v>
      </c>
      <c r="F426" t="s">
        <v>196</v>
      </c>
      <c r="G426">
        <v>0.6</v>
      </c>
      <c r="H426">
        <v>0.8</v>
      </c>
      <c r="I426">
        <v>0.44</v>
      </c>
      <c r="J426">
        <v>3.19</v>
      </c>
      <c r="K426">
        <f>SUM(G426:J426)</f>
        <v>5.0299999999999994</v>
      </c>
      <c r="L426">
        <f>IF(K426&gt;20,10%,5%)</f>
        <v>0.05</v>
      </c>
      <c r="M426">
        <f>K426*L426</f>
        <v>0.2515</v>
      </c>
      <c r="N426">
        <f>LOOKUP(K426,Lookup!$A$2:$A$5,Lookup!$B$2:$B$5)</f>
        <v>0.1</v>
      </c>
      <c r="O426">
        <f>K426*N426</f>
        <v>0.503</v>
      </c>
      <c r="P426">
        <f>K426-M426+O426</f>
        <v>5.2814999999999994</v>
      </c>
    </row>
    <row r="427" spans="1:16">
      <c r="A427">
        <v>426</v>
      </c>
      <c r="B427" t="s">
        <v>446</v>
      </c>
      <c r="C427" t="s">
        <v>134</v>
      </c>
      <c r="D427">
        <v>2008</v>
      </c>
      <c r="E427" t="s">
        <v>48</v>
      </c>
      <c r="F427" t="s">
        <v>64</v>
      </c>
      <c r="G427">
        <v>1.01</v>
      </c>
      <c r="H427">
        <v>0.04</v>
      </c>
      <c r="I427">
        <v>0.66</v>
      </c>
      <c r="J427">
        <v>3.19</v>
      </c>
      <c r="K427">
        <f>SUM(G427:J427)</f>
        <v>4.9000000000000004</v>
      </c>
      <c r="L427">
        <f>IF(K427&gt;20,10%,5%)</f>
        <v>0.05</v>
      </c>
      <c r="M427">
        <f>K427*L427</f>
        <v>0.24500000000000002</v>
      </c>
      <c r="N427">
        <f>LOOKUP(K427,Lookup!$A$2:$A$5,Lookup!$B$2:$B$5)</f>
        <v>0.1</v>
      </c>
      <c r="O427">
        <f>K427*N427</f>
        <v>0.49000000000000005</v>
      </c>
      <c r="P427">
        <f>K427-M427+O427</f>
        <v>5.1450000000000005</v>
      </c>
    </row>
    <row r="428" spans="1:16">
      <c r="A428">
        <v>427</v>
      </c>
      <c r="B428" t="s">
        <v>447</v>
      </c>
      <c r="C428" t="s">
        <v>53</v>
      </c>
      <c r="D428">
        <v>1995</v>
      </c>
      <c r="E428" t="s">
        <v>27</v>
      </c>
      <c r="F428" t="s">
        <v>280</v>
      </c>
      <c r="G428">
        <v>0</v>
      </c>
      <c r="H428">
        <v>3.19</v>
      </c>
      <c r="I428">
        <v>0</v>
      </c>
      <c r="J428">
        <v>3.19</v>
      </c>
      <c r="K428">
        <f>SUM(G428:J428)</f>
        <v>6.38</v>
      </c>
      <c r="L428">
        <f>IF(K428&gt;20,10%,5%)</f>
        <v>0.05</v>
      </c>
      <c r="M428">
        <f>K428*L428</f>
        <v>0.31900000000000001</v>
      </c>
      <c r="N428">
        <f>LOOKUP(K428,Lookup!$A$2:$A$5,Lookup!$B$2:$B$5)</f>
        <v>0.1</v>
      </c>
      <c r="O428">
        <f>K428*N428</f>
        <v>0.63800000000000001</v>
      </c>
      <c r="P428">
        <f>K428-M428+O428</f>
        <v>6.6989999999999998</v>
      </c>
    </row>
    <row r="429" spans="1:16">
      <c r="A429">
        <v>428</v>
      </c>
      <c r="B429" t="s">
        <v>448</v>
      </c>
      <c r="C429" t="s">
        <v>44</v>
      </c>
      <c r="D429">
        <v>2010</v>
      </c>
      <c r="E429" t="s">
        <v>33</v>
      </c>
      <c r="F429" t="s">
        <v>449</v>
      </c>
      <c r="G429">
        <v>0.77</v>
      </c>
      <c r="H429">
        <v>0.01</v>
      </c>
      <c r="I429">
        <v>0.26</v>
      </c>
      <c r="J429">
        <v>3.19</v>
      </c>
      <c r="K429">
        <f>SUM(G429:J429)</f>
        <v>4.2300000000000004</v>
      </c>
      <c r="L429">
        <f>IF(K429&gt;20,10%,5%)</f>
        <v>0.05</v>
      </c>
      <c r="M429">
        <f>K429*L429</f>
        <v>0.21150000000000002</v>
      </c>
      <c r="N429">
        <f>LOOKUP(K429,Lookup!$A$2:$A$5,Lookup!$B$2:$B$5)</f>
        <v>0.1</v>
      </c>
      <c r="O429">
        <f>K429*N429</f>
        <v>0.42300000000000004</v>
      </c>
      <c r="P429">
        <f>K429-M429+O429</f>
        <v>4.4415000000000004</v>
      </c>
    </row>
    <row r="430" spans="1:16">
      <c r="A430">
        <v>429</v>
      </c>
      <c r="B430" t="s">
        <v>450</v>
      </c>
      <c r="C430" t="s">
        <v>51</v>
      </c>
      <c r="D430">
        <v>2003</v>
      </c>
      <c r="E430" t="s">
        <v>48</v>
      </c>
      <c r="F430" t="s">
        <v>132</v>
      </c>
      <c r="G430">
        <v>1.1200000000000001</v>
      </c>
      <c r="H430">
        <v>0.09</v>
      </c>
      <c r="I430">
        <v>0.19</v>
      </c>
      <c r="J430">
        <v>3.18</v>
      </c>
      <c r="K430">
        <f>SUM(G430:J430)</f>
        <v>4.58</v>
      </c>
      <c r="L430">
        <f>IF(K430&gt;20,10%,5%)</f>
        <v>0.05</v>
      </c>
      <c r="M430">
        <f>K430*L430</f>
        <v>0.22900000000000001</v>
      </c>
      <c r="N430">
        <f>LOOKUP(K430,Lookup!$A$2:$A$5,Lookup!$B$2:$B$5)</f>
        <v>0.1</v>
      </c>
      <c r="O430">
        <f>K430*N430</f>
        <v>0.45800000000000002</v>
      </c>
      <c r="P430">
        <f>K430-M430+O430</f>
        <v>4.8090000000000002</v>
      </c>
    </row>
    <row r="431" spans="1:16">
      <c r="A431">
        <v>430</v>
      </c>
      <c r="B431" t="s">
        <v>451</v>
      </c>
      <c r="C431" t="s">
        <v>153</v>
      </c>
      <c r="D431">
        <v>2015</v>
      </c>
      <c r="E431" t="s">
        <v>2</v>
      </c>
      <c r="F431" t="s">
        <v>19</v>
      </c>
      <c r="G431">
        <v>0.87</v>
      </c>
      <c r="H431">
        <v>0.93</v>
      </c>
      <c r="I431">
        <v>0.2</v>
      </c>
      <c r="J431">
        <v>3.18</v>
      </c>
      <c r="K431">
        <f>SUM(G431:J431)</f>
        <v>5.18</v>
      </c>
      <c r="L431">
        <f>IF(K431&gt;20,10%,5%)</f>
        <v>0.05</v>
      </c>
      <c r="M431">
        <f>K431*L431</f>
        <v>0.25900000000000001</v>
      </c>
      <c r="N431">
        <f>LOOKUP(K431,Lookup!$A$2:$A$5,Lookup!$B$2:$B$5)</f>
        <v>0.1</v>
      </c>
      <c r="O431">
        <f>K431*N431</f>
        <v>0.51800000000000002</v>
      </c>
      <c r="P431">
        <f>K431-M431+O431</f>
        <v>5.4389999999999992</v>
      </c>
    </row>
    <row r="432" spans="1:16">
      <c r="A432">
        <v>431</v>
      </c>
      <c r="B432" t="s">
        <v>323</v>
      </c>
      <c r="C432" t="s">
        <v>47</v>
      </c>
      <c r="D432">
        <v>2010</v>
      </c>
      <c r="E432" t="s">
        <v>27</v>
      </c>
      <c r="F432" t="s">
        <v>112</v>
      </c>
      <c r="G432">
        <v>1.08</v>
      </c>
      <c r="H432">
        <v>0.1</v>
      </c>
      <c r="I432">
        <v>0.47</v>
      </c>
      <c r="J432">
        <v>3.17</v>
      </c>
      <c r="K432">
        <f>SUM(G432:J432)</f>
        <v>4.82</v>
      </c>
      <c r="L432">
        <f>IF(K432&gt;20,10%,5%)</f>
        <v>0.05</v>
      </c>
      <c r="M432">
        <f>K432*L432</f>
        <v>0.24100000000000002</v>
      </c>
      <c r="N432">
        <f>LOOKUP(K432,Lookup!$A$2:$A$5,Lookup!$B$2:$B$5)</f>
        <v>0.1</v>
      </c>
      <c r="O432">
        <f>K432*N432</f>
        <v>0.48200000000000004</v>
      </c>
      <c r="P432">
        <f>K432-M432+O432</f>
        <v>5.0610000000000008</v>
      </c>
    </row>
    <row r="433" spans="1:16">
      <c r="A433">
        <v>432</v>
      </c>
      <c r="B433" t="s">
        <v>417</v>
      </c>
      <c r="C433" t="s">
        <v>17</v>
      </c>
      <c r="D433" t="s">
        <v>229</v>
      </c>
      <c r="E433" t="s">
        <v>48</v>
      </c>
      <c r="F433" t="s">
        <v>210</v>
      </c>
      <c r="G433">
        <v>1.02</v>
      </c>
      <c r="H433">
        <v>0</v>
      </c>
      <c r="I433">
        <v>0.28999999999999998</v>
      </c>
      <c r="J433">
        <v>3.17</v>
      </c>
      <c r="K433">
        <f>SUM(G433:J433)</f>
        <v>4.4800000000000004</v>
      </c>
      <c r="L433">
        <f>IF(K433&gt;20,10%,5%)</f>
        <v>0.05</v>
      </c>
      <c r="M433">
        <f>K433*L433</f>
        <v>0.22400000000000003</v>
      </c>
      <c r="N433">
        <f>LOOKUP(K433,Lookup!$A$2:$A$5,Lookup!$B$2:$B$5)</f>
        <v>0.1</v>
      </c>
      <c r="O433">
        <f>K433*N433</f>
        <v>0.44800000000000006</v>
      </c>
      <c r="P433">
        <f>K433-M433+O433</f>
        <v>4.7040000000000006</v>
      </c>
    </row>
    <row r="434" spans="1:16">
      <c r="A434">
        <v>433</v>
      </c>
      <c r="B434" t="s">
        <v>452</v>
      </c>
      <c r="C434" t="s">
        <v>31</v>
      </c>
      <c r="D434">
        <v>2008</v>
      </c>
      <c r="E434" t="s">
        <v>33</v>
      </c>
      <c r="F434" t="s">
        <v>19</v>
      </c>
      <c r="G434">
        <v>0.51</v>
      </c>
      <c r="H434">
        <v>1.93</v>
      </c>
      <c r="I434">
        <v>0.14000000000000001</v>
      </c>
      <c r="J434">
        <v>3.17</v>
      </c>
      <c r="K434">
        <f>SUM(G434:J434)</f>
        <v>5.75</v>
      </c>
      <c r="L434">
        <f>IF(K434&gt;20,10%,5%)</f>
        <v>0.05</v>
      </c>
      <c r="M434">
        <f>K434*L434</f>
        <v>0.28750000000000003</v>
      </c>
      <c r="N434">
        <f>LOOKUP(K434,Lookup!$A$2:$A$5,Lookup!$B$2:$B$5)</f>
        <v>0.1</v>
      </c>
      <c r="O434">
        <f>K434*N434</f>
        <v>0.57500000000000007</v>
      </c>
      <c r="P434">
        <f>K434-M434+O434</f>
        <v>6.0375000000000005</v>
      </c>
    </row>
    <row r="435" spans="1:16">
      <c r="A435">
        <v>434</v>
      </c>
      <c r="B435" t="s">
        <v>453</v>
      </c>
      <c r="C435" t="s">
        <v>51</v>
      </c>
      <c r="D435">
        <v>2001</v>
      </c>
      <c r="E435" t="s">
        <v>38</v>
      </c>
      <c r="F435" t="s">
        <v>194</v>
      </c>
      <c r="G435">
        <v>0.56000000000000005</v>
      </c>
      <c r="H435">
        <v>0.38</v>
      </c>
      <c r="I435">
        <v>0.17</v>
      </c>
      <c r="J435">
        <v>3.17</v>
      </c>
      <c r="K435">
        <f>SUM(G435:J435)</f>
        <v>4.28</v>
      </c>
      <c r="L435">
        <f>IF(K435&gt;20,10%,5%)</f>
        <v>0.05</v>
      </c>
      <c r="M435">
        <f>K435*L435</f>
        <v>0.21400000000000002</v>
      </c>
      <c r="N435">
        <f>LOOKUP(K435,Lookup!$A$2:$A$5,Lookup!$B$2:$B$5)</f>
        <v>0.1</v>
      </c>
      <c r="O435">
        <f>K435*N435</f>
        <v>0.42800000000000005</v>
      </c>
      <c r="P435">
        <f>K435-M435+O435</f>
        <v>4.4939999999999998</v>
      </c>
    </row>
    <row r="436" spans="1:16">
      <c r="A436">
        <v>435</v>
      </c>
      <c r="B436" t="s">
        <v>454</v>
      </c>
      <c r="C436" t="s">
        <v>31</v>
      </c>
      <c r="D436">
        <v>2008</v>
      </c>
      <c r="E436" t="s">
        <v>88</v>
      </c>
      <c r="F436" t="s">
        <v>455</v>
      </c>
      <c r="G436">
        <v>0.98</v>
      </c>
      <c r="H436">
        <v>0</v>
      </c>
      <c r="I436">
        <v>0.3</v>
      </c>
      <c r="J436">
        <v>3.16</v>
      </c>
      <c r="K436">
        <f>SUM(G436:J436)</f>
        <v>4.4400000000000004</v>
      </c>
      <c r="L436">
        <f>IF(K436&gt;20,10%,5%)</f>
        <v>0.05</v>
      </c>
      <c r="M436">
        <f>K436*L436</f>
        <v>0.22200000000000003</v>
      </c>
      <c r="N436">
        <f>LOOKUP(K436,Lookup!$A$2:$A$5,Lookup!$B$2:$B$5)</f>
        <v>0.1</v>
      </c>
      <c r="O436">
        <f>K436*N436</f>
        <v>0.44400000000000006</v>
      </c>
      <c r="P436">
        <f>K436-M436+O436</f>
        <v>4.6619999999999999</v>
      </c>
    </row>
    <row r="437" spans="1:16">
      <c r="A437">
        <v>436</v>
      </c>
      <c r="B437" t="s">
        <v>456</v>
      </c>
      <c r="C437" t="s">
        <v>151</v>
      </c>
      <c r="D437">
        <v>2001</v>
      </c>
      <c r="E437" t="s">
        <v>38</v>
      </c>
      <c r="F437" t="s">
        <v>19</v>
      </c>
      <c r="G437">
        <v>0.16</v>
      </c>
      <c r="H437">
        <v>0.99</v>
      </c>
      <c r="I437">
        <v>0.09</v>
      </c>
      <c r="J437">
        <v>3.15</v>
      </c>
      <c r="K437">
        <f>SUM(G437:J437)</f>
        <v>4.3899999999999997</v>
      </c>
      <c r="L437">
        <f>IF(K437&gt;20,10%,5%)</f>
        <v>0.05</v>
      </c>
      <c r="M437">
        <f>K437*L437</f>
        <v>0.2195</v>
      </c>
      <c r="N437">
        <f>LOOKUP(K437,Lookup!$A$2:$A$5,Lookup!$B$2:$B$5)</f>
        <v>0.1</v>
      </c>
      <c r="O437">
        <f>K437*N437</f>
        <v>0.439</v>
      </c>
      <c r="P437">
        <f>K437-M437+O437</f>
        <v>4.6094999999999997</v>
      </c>
    </row>
    <row r="438" spans="1:16">
      <c r="A438">
        <v>437</v>
      </c>
      <c r="B438" t="s">
        <v>417</v>
      </c>
      <c r="C438" t="s">
        <v>31</v>
      </c>
      <c r="D438">
        <v>2008</v>
      </c>
      <c r="E438" t="s">
        <v>48</v>
      </c>
      <c r="F438" t="s">
        <v>210</v>
      </c>
      <c r="G438">
        <v>1.06</v>
      </c>
      <c r="H438">
        <v>0</v>
      </c>
      <c r="I438">
        <v>0.28999999999999998</v>
      </c>
      <c r="J438">
        <v>3.15</v>
      </c>
      <c r="K438">
        <f>SUM(G438:J438)</f>
        <v>4.5</v>
      </c>
      <c r="L438">
        <f>IF(K438&gt;20,10%,5%)</f>
        <v>0.05</v>
      </c>
      <c r="M438">
        <f>K438*L438</f>
        <v>0.22500000000000001</v>
      </c>
      <c r="N438">
        <f>LOOKUP(K438,Lookup!$A$2:$A$5,Lookup!$B$2:$B$5)</f>
        <v>0.1</v>
      </c>
      <c r="O438">
        <f>K438*N438</f>
        <v>0.45</v>
      </c>
      <c r="P438">
        <f>K438-M438+O438</f>
        <v>4.7250000000000005</v>
      </c>
    </row>
    <row r="439" spans="1:16">
      <c r="A439">
        <v>438</v>
      </c>
      <c r="B439" t="s">
        <v>457</v>
      </c>
      <c r="C439" t="s">
        <v>31</v>
      </c>
      <c r="D439">
        <v>2005</v>
      </c>
      <c r="E439" t="s">
        <v>2</v>
      </c>
      <c r="F439" t="s">
        <v>126</v>
      </c>
      <c r="G439">
        <v>1.57</v>
      </c>
      <c r="H439">
        <v>0.06</v>
      </c>
      <c r="I439">
        <v>0.28999999999999998</v>
      </c>
      <c r="J439">
        <v>3.15</v>
      </c>
      <c r="K439">
        <f>SUM(G439:J439)</f>
        <v>5.07</v>
      </c>
      <c r="L439">
        <f>IF(K439&gt;20,10%,5%)</f>
        <v>0.05</v>
      </c>
      <c r="M439">
        <f>K439*L439</f>
        <v>0.2535</v>
      </c>
      <c r="N439">
        <f>LOOKUP(K439,Lookup!$A$2:$A$5,Lookup!$B$2:$B$5)</f>
        <v>0.1</v>
      </c>
      <c r="O439">
        <f>K439*N439</f>
        <v>0.50700000000000001</v>
      </c>
      <c r="P439">
        <f>K439-M439+O439</f>
        <v>5.3235000000000001</v>
      </c>
    </row>
    <row r="440" spans="1:16">
      <c r="A440">
        <v>439</v>
      </c>
      <c r="B440" t="s">
        <v>458</v>
      </c>
      <c r="C440" t="s">
        <v>47</v>
      </c>
      <c r="D440">
        <v>2012</v>
      </c>
      <c r="E440" t="s">
        <v>36</v>
      </c>
      <c r="F440" t="s">
        <v>180</v>
      </c>
      <c r="G440">
        <v>0.97</v>
      </c>
      <c r="H440">
        <v>0.88</v>
      </c>
      <c r="I440">
        <v>0.42</v>
      </c>
      <c r="J440">
        <v>3.15</v>
      </c>
      <c r="K440">
        <f>SUM(G440:J440)</f>
        <v>5.42</v>
      </c>
      <c r="L440">
        <f>IF(K440&gt;20,10%,5%)</f>
        <v>0.05</v>
      </c>
      <c r="M440">
        <f>K440*L440</f>
        <v>0.27100000000000002</v>
      </c>
      <c r="N440">
        <f>LOOKUP(K440,Lookup!$A$2:$A$5,Lookup!$B$2:$B$5)</f>
        <v>0.1</v>
      </c>
      <c r="O440">
        <f>K440*N440</f>
        <v>0.54200000000000004</v>
      </c>
      <c r="P440">
        <f>K440-M440+O440</f>
        <v>5.6909999999999998</v>
      </c>
    </row>
    <row r="441" spans="1:16">
      <c r="A441">
        <v>440</v>
      </c>
      <c r="B441" t="s">
        <v>459</v>
      </c>
      <c r="C441" t="s">
        <v>145</v>
      </c>
      <c r="D441">
        <v>2014</v>
      </c>
      <c r="E441" t="s">
        <v>36</v>
      </c>
      <c r="F441" t="s">
        <v>45</v>
      </c>
      <c r="G441">
        <v>0.99</v>
      </c>
      <c r="H441">
        <v>0.03</v>
      </c>
      <c r="I441">
        <v>0.24</v>
      </c>
      <c r="J441">
        <v>3.15</v>
      </c>
      <c r="K441">
        <f>SUM(G441:J441)</f>
        <v>4.41</v>
      </c>
      <c r="L441">
        <f>IF(K441&gt;20,10%,5%)</f>
        <v>0.05</v>
      </c>
      <c r="M441">
        <f>K441*L441</f>
        <v>0.22050000000000003</v>
      </c>
      <c r="N441">
        <f>LOOKUP(K441,Lookup!$A$2:$A$5,Lookup!$B$2:$B$5)</f>
        <v>0.1</v>
      </c>
      <c r="O441">
        <f>K441*N441</f>
        <v>0.44100000000000006</v>
      </c>
      <c r="P441">
        <f>K441-M441+O441</f>
        <v>4.6304999999999996</v>
      </c>
    </row>
    <row r="442" spans="1:16">
      <c r="A442">
        <v>441</v>
      </c>
      <c r="B442" t="s">
        <v>460</v>
      </c>
      <c r="C442" t="s">
        <v>51</v>
      </c>
      <c r="D442">
        <v>2007</v>
      </c>
      <c r="E442" t="s">
        <v>18</v>
      </c>
      <c r="F442" t="s">
        <v>115</v>
      </c>
      <c r="G442">
        <v>0</v>
      </c>
      <c r="H442">
        <v>0</v>
      </c>
      <c r="I442">
        <v>2.46</v>
      </c>
      <c r="J442">
        <v>3.14</v>
      </c>
      <c r="K442">
        <f>SUM(G442:J442)</f>
        <v>5.6</v>
      </c>
      <c r="L442">
        <f>IF(K442&gt;20,10%,5%)</f>
        <v>0.05</v>
      </c>
      <c r="M442">
        <f>K442*L442</f>
        <v>0.27999999999999997</v>
      </c>
      <c r="N442">
        <f>LOOKUP(K442,Lookup!$A$2:$A$5,Lookup!$B$2:$B$5)</f>
        <v>0.1</v>
      </c>
      <c r="O442">
        <f>K442*N442</f>
        <v>0.55999999999999994</v>
      </c>
      <c r="P442">
        <f>K442-M442+O442</f>
        <v>5.879999999999999</v>
      </c>
    </row>
    <row r="443" spans="1:16">
      <c r="A443">
        <v>442</v>
      </c>
      <c r="B443" t="s">
        <v>461</v>
      </c>
      <c r="C443" t="s">
        <v>91</v>
      </c>
      <c r="D443">
        <v>2000</v>
      </c>
      <c r="E443" t="s">
        <v>48</v>
      </c>
      <c r="F443" t="s">
        <v>66</v>
      </c>
      <c r="G443">
        <v>1.25</v>
      </c>
      <c r="H443">
        <v>0.02</v>
      </c>
      <c r="I443">
        <v>0.16</v>
      </c>
      <c r="J443">
        <v>3.13</v>
      </c>
      <c r="K443">
        <f>SUM(G443:J443)</f>
        <v>4.5599999999999996</v>
      </c>
      <c r="L443">
        <f>IF(K443&gt;20,10%,5%)</f>
        <v>0.05</v>
      </c>
      <c r="M443">
        <f>K443*L443</f>
        <v>0.22799999999999998</v>
      </c>
      <c r="N443">
        <f>LOOKUP(K443,Lookup!$A$2:$A$5,Lookup!$B$2:$B$5)</f>
        <v>0.1</v>
      </c>
      <c r="O443">
        <f>K443*N443</f>
        <v>0.45599999999999996</v>
      </c>
      <c r="P443">
        <f>K443-M443+O443</f>
        <v>4.7880000000000003</v>
      </c>
    </row>
    <row r="444" spans="1:16">
      <c r="A444">
        <v>443</v>
      </c>
      <c r="B444" t="s">
        <v>462</v>
      </c>
      <c r="C444" t="s">
        <v>91</v>
      </c>
      <c r="D444">
        <v>1998</v>
      </c>
      <c r="E444" t="s">
        <v>23</v>
      </c>
      <c r="F444" t="s">
        <v>115</v>
      </c>
      <c r="G444">
        <v>0.86</v>
      </c>
      <c r="H444">
        <v>0</v>
      </c>
      <c r="I444">
        <v>0.13</v>
      </c>
      <c r="J444">
        <v>3.12</v>
      </c>
      <c r="K444">
        <f>SUM(G444:J444)</f>
        <v>4.1100000000000003</v>
      </c>
      <c r="L444">
        <f>IF(K444&gt;20,10%,5%)</f>
        <v>0.05</v>
      </c>
      <c r="M444">
        <f>K444*L444</f>
        <v>0.20550000000000002</v>
      </c>
      <c r="N444">
        <f>LOOKUP(K444,Lookup!$A$2:$A$5,Lookup!$B$2:$B$5)</f>
        <v>0.1</v>
      </c>
      <c r="O444">
        <f>K444*N444</f>
        <v>0.41100000000000003</v>
      </c>
      <c r="P444">
        <f>K444-M444+O444</f>
        <v>4.3155000000000001</v>
      </c>
    </row>
    <row r="445" spans="1:16">
      <c r="A445">
        <v>444</v>
      </c>
      <c r="B445" t="s">
        <v>463</v>
      </c>
      <c r="C445" t="s">
        <v>83</v>
      </c>
      <c r="D445">
        <v>1999</v>
      </c>
      <c r="E445" t="s">
        <v>23</v>
      </c>
      <c r="F445" t="s">
        <v>19</v>
      </c>
      <c r="G445">
        <v>0.62</v>
      </c>
      <c r="H445">
        <v>0.14000000000000001</v>
      </c>
      <c r="I445">
        <v>0.04</v>
      </c>
      <c r="J445">
        <v>3.12</v>
      </c>
      <c r="K445">
        <f>SUM(G445:J445)</f>
        <v>3.92</v>
      </c>
      <c r="L445">
        <f>IF(K445&gt;20,10%,5%)</f>
        <v>0.05</v>
      </c>
      <c r="M445">
        <f>K445*L445</f>
        <v>0.19600000000000001</v>
      </c>
      <c r="N445">
        <f>LOOKUP(K445,Lookup!$A$2:$A$5,Lookup!$B$2:$B$5)</f>
        <v>0.1</v>
      </c>
      <c r="O445">
        <f>K445*N445</f>
        <v>0.39200000000000002</v>
      </c>
      <c r="P445">
        <f>K445-M445+O445</f>
        <v>4.1159999999999997</v>
      </c>
    </row>
    <row r="446" spans="1:16">
      <c r="A446">
        <v>445</v>
      </c>
      <c r="B446" t="s">
        <v>464</v>
      </c>
      <c r="C446" t="s">
        <v>31</v>
      </c>
      <c r="D446">
        <v>2006</v>
      </c>
      <c r="E446" t="s">
        <v>33</v>
      </c>
      <c r="F446" t="s">
        <v>19</v>
      </c>
      <c r="G446">
        <v>1</v>
      </c>
      <c r="H446">
        <v>1.03</v>
      </c>
      <c r="I446">
        <v>0.17</v>
      </c>
      <c r="J446">
        <v>3.12</v>
      </c>
      <c r="K446">
        <f>SUM(G446:J446)</f>
        <v>5.32</v>
      </c>
      <c r="L446">
        <f>IF(K446&gt;20,10%,5%)</f>
        <v>0.05</v>
      </c>
      <c r="M446">
        <f>K446*L446</f>
        <v>0.26600000000000001</v>
      </c>
      <c r="N446">
        <f>LOOKUP(K446,Lookup!$A$2:$A$5,Lookup!$B$2:$B$5)</f>
        <v>0.1</v>
      </c>
      <c r="O446">
        <f>K446*N446</f>
        <v>0.53200000000000003</v>
      </c>
      <c r="P446">
        <f>K446-M446+O446</f>
        <v>5.5860000000000003</v>
      </c>
    </row>
    <row r="447" spans="1:16">
      <c r="A447">
        <v>446</v>
      </c>
      <c r="B447" t="s">
        <v>287</v>
      </c>
      <c r="C447" t="s">
        <v>47</v>
      </c>
      <c r="D447">
        <v>2007</v>
      </c>
      <c r="E447" t="s">
        <v>27</v>
      </c>
      <c r="F447" t="s">
        <v>97</v>
      </c>
      <c r="G447">
        <v>0.87</v>
      </c>
      <c r="H447">
        <v>0.14000000000000001</v>
      </c>
      <c r="I447">
        <v>0.42</v>
      </c>
      <c r="J447">
        <v>3.12</v>
      </c>
      <c r="K447">
        <f>SUM(G447:J447)</f>
        <v>4.55</v>
      </c>
      <c r="L447">
        <f>IF(K447&gt;20,10%,5%)</f>
        <v>0.05</v>
      </c>
      <c r="M447">
        <f>K447*L447</f>
        <v>0.22750000000000001</v>
      </c>
      <c r="N447">
        <f>LOOKUP(K447,Lookup!$A$2:$A$5,Lookup!$B$2:$B$5)</f>
        <v>0.1</v>
      </c>
      <c r="O447">
        <f>K447*N447</f>
        <v>0.45500000000000002</v>
      </c>
      <c r="P447">
        <f>K447-M447+O447</f>
        <v>4.7774999999999999</v>
      </c>
    </row>
    <row r="448" spans="1:16">
      <c r="A448">
        <v>447</v>
      </c>
      <c r="B448" t="s">
        <v>465</v>
      </c>
      <c r="C448" t="s">
        <v>21</v>
      </c>
      <c r="D448">
        <v>1990</v>
      </c>
      <c r="E448" t="s">
        <v>27</v>
      </c>
      <c r="F448" t="s">
        <v>280</v>
      </c>
      <c r="G448">
        <v>0</v>
      </c>
      <c r="H448">
        <v>3.03</v>
      </c>
      <c r="I448">
        <v>0.01</v>
      </c>
      <c r="J448">
        <v>3.12</v>
      </c>
      <c r="K448">
        <f>SUM(G448:J448)</f>
        <v>6.16</v>
      </c>
      <c r="L448">
        <f>IF(K448&gt;20,10%,5%)</f>
        <v>0.05</v>
      </c>
      <c r="M448">
        <f>K448*L448</f>
        <v>0.30800000000000005</v>
      </c>
      <c r="N448">
        <f>LOOKUP(K448,Lookup!$A$2:$A$5,Lookup!$B$2:$B$5)</f>
        <v>0.1</v>
      </c>
      <c r="O448">
        <f>K448*N448</f>
        <v>0.6160000000000001</v>
      </c>
      <c r="P448">
        <f>K448-M448+O448</f>
        <v>6.468</v>
      </c>
    </row>
    <row r="449" spans="1:16">
      <c r="A449">
        <v>448</v>
      </c>
      <c r="B449" t="s">
        <v>466</v>
      </c>
      <c r="C449" t="s">
        <v>47</v>
      </c>
      <c r="D449">
        <v>2010</v>
      </c>
      <c r="E449" t="s">
        <v>88</v>
      </c>
      <c r="F449" t="s">
        <v>64</v>
      </c>
      <c r="G449">
        <v>1.27</v>
      </c>
      <c r="H449">
        <v>0.06</v>
      </c>
      <c r="I449">
        <v>0.5</v>
      </c>
      <c r="J449">
        <v>3.12</v>
      </c>
      <c r="K449">
        <f>SUM(G449:J449)</f>
        <v>4.95</v>
      </c>
      <c r="L449">
        <f>IF(K449&gt;20,10%,5%)</f>
        <v>0.05</v>
      </c>
      <c r="M449">
        <f>K449*L449</f>
        <v>0.24750000000000003</v>
      </c>
      <c r="N449">
        <f>LOOKUP(K449,Lookup!$A$2:$A$5,Lookup!$B$2:$B$5)</f>
        <v>0.1</v>
      </c>
      <c r="O449">
        <f>K449*N449</f>
        <v>0.49500000000000005</v>
      </c>
      <c r="P449">
        <f>K449-M449+O449</f>
        <v>5.1975000000000007</v>
      </c>
    </row>
    <row r="450" spans="1:16">
      <c r="A450">
        <v>449</v>
      </c>
      <c r="B450" t="s">
        <v>467</v>
      </c>
      <c r="C450" t="s">
        <v>44</v>
      </c>
      <c r="D450">
        <v>2010</v>
      </c>
      <c r="E450" t="s">
        <v>27</v>
      </c>
      <c r="F450" t="s">
        <v>115</v>
      </c>
      <c r="G450">
        <v>0.82</v>
      </c>
      <c r="H450">
        <v>0.03</v>
      </c>
      <c r="I450">
        <v>0.27</v>
      </c>
      <c r="J450">
        <v>3.11</v>
      </c>
      <c r="K450">
        <f>SUM(G450:J450)</f>
        <v>4.2300000000000004</v>
      </c>
      <c r="L450">
        <f>IF(K450&gt;20,10%,5%)</f>
        <v>0.05</v>
      </c>
      <c r="M450">
        <f>K450*L450</f>
        <v>0.21150000000000002</v>
      </c>
      <c r="N450">
        <f>LOOKUP(K450,Lookup!$A$2:$A$5,Lookup!$B$2:$B$5)</f>
        <v>0.1</v>
      </c>
      <c r="O450">
        <f>K450*N450</f>
        <v>0.42300000000000004</v>
      </c>
      <c r="P450">
        <f>K450-M450+O450</f>
        <v>4.4415000000000004</v>
      </c>
    </row>
    <row r="451" spans="1:16">
      <c r="A451">
        <v>450</v>
      </c>
      <c r="B451" t="s">
        <v>169</v>
      </c>
      <c r="C451" t="s">
        <v>44</v>
      </c>
      <c r="D451">
        <v>2014</v>
      </c>
      <c r="E451" t="s">
        <v>18</v>
      </c>
      <c r="F451" t="s">
        <v>115</v>
      </c>
      <c r="G451">
        <v>2.02</v>
      </c>
      <c r="H451">
        <v>0</v>
      </c>
      <c r="I451">
        <v>0.3</v>
      </c>
      <c r="J451">
        <v>3.11</v>
      </c>
      <c r="K451">
        <f>SUM(G451:J451)</f>
        <v>5.43</v>
      </c>
      <c r="L451">
        <f>IF(K451&gt;20,10%,5%)</f>
        <v>0.05</v>
      </c>
      <c r="M451">
        <f>K451*L451</f>
        <v>0.27150000000000002</v>
      </c>
      <c r="N451">
        <f>LOOKUP(K451,Lookup!$A$2:$A$5,Lookup!$B$2:$B$5)</f>
        <v>0.1</v>
      </c>
      <c r="O451">
        <f>K451*N451</f>
        <v>0.54300000000000004</v>
      </c>
      <c r="P451">
        <f>K451-M451+O451</f>
        <v>5.7015000000000002</v>
      </c>
    </row>
    <row r="452" spans="1:16">
      <c r="A452">
        <v>451</v>
      </c>
      <c r="B452" t="s">
        <v>468</v>
      </c>
      <c r="C452" t="s">
        <v>51</v>
      </c>
      <c r="D452">
        <v>2002</v>
      </c>
      <c r="E452" t="s">
        <v>77</v>
      </c>
      <c r="F452" t="s">
        <v>132</v>
      </c>
      <c r="G452">
        <v>0.28000000000000003</v>
      </c>
      <c r="H452">
        <v>0.55000000000000004</v>
      </c>
      <c r="I452">
        <v>0.08</v>
      </c>
      <c r="J452">
        <v>3.09</v>
      </c>
      <c r="K452">
        <f>SUM(G452:J452)</f>
        <v>4</v>
      </c>
      <c r="L452">
        <f>IF(K452&gt;20,10%,5%)</f>
        <v>0.05</v>
      </c>
      <c r="M452">
        <f>K452*L452</f>
        <v>0.2</v>
      </c>
      <c r="N452">
        <f>LOOKUP(K452,Lookup!$A$2:$A$5,Lookup!$B$2:$B$5)</f>
        <v>0.1</v>
      </c>
      <c r="O452">
        <f>K452*N452</f>
        <v>0.4</v>
      </c>
      <c r="P452">
        <f>K452-M452+O452</f>
        <v>4.2</v>
      </c>
    </row>
    <row r="453" spans="1:16">
      <c r="A453">
        <v>452</v>
      </c>
      <c r="B453" t="s">
        <v>469</v>
      </c>
      <c r="C453" t="s">
        <v>51</v>
      </c>
      <c r="D453">
        <v>2001</v>
      </c>
      <c r="E453" t="s">
        <v>18</v>
      </c>
      <c r="F453" t="s">
        <v>115</v>
      </c>
      <c r="G453">
        <v>0.16</v>
      </c>
      <c r="H453">
        <v>0.01</v>
      </c>
      <c r="I453">
        <v>0.42</v>
      </c>
      <c r="J453">
        <v>3.08</v>
      </c>
      <c r="K453">
        <f>SUM(G453:J453)</f>
        <v>3.67</v>
      </c>
      <c r="L453">
        <f>IF(K453&gt;20,10%,5%)</f>
        <v>0.05</v>
      </c>
      <c r="M453">
        <f>K453*L453</f>
        <v>0.1835</v>
      </c>
      <c r="N453">
        <f>LOOKUP(K453,Lookup!$A$2:$A$5,Lookup!$B$2:$B$5)</f>
        <v>0.1</v>
      </c>
      <c r="O453">
        <f>K453*N453</f>
        <v>0.36699999999999999</v>
      </c>
      <c r="P453">
        <f>K453-M453+O453</f>
        <v>3.8534999999999999</v>
      </c>
    </row>
    <row r="454" spans="1:16">
      <c r="A454">
        <v>453</v>
      </c>
      <c r="B454" t="s">
        <v>470</v>
      </c>
      <c r="C454" t="s">
        <v>21</v>
      </c>
      <c r="D454">
        <v>1986</v>
      </c>
      <c r="E454" t="s">
        <v>18</v>
      </c>
      <c r="F454" t="s">
        <v>300</v>
      </c>
      <c r="G454">
        <v>0.45</v>
      </c>
      <c r="H454">
        <v>0.64</v>
      </c>
      <c r="I454">
        <v>7.0000000000000007E-2</v>
      </c>
      <c r="J454">
        <v>3.08</v>
      </c>
      <c r="K454">
        <f>SUM(G454:J454)</f>
        <v>4.24</v>
      </c>
      <c r="L454">
        <f>IF(K454&gt;20,10%,5%)</f>
        <v>0.05</v>
      </c>
      <c r="M454">
        <f>K454*L454</f>
        <v>0.21200000000000002</v>
      </c>
      <c r="N454">
        <f>LOOKUP(K454,Lookup!$A$2:$A$5,Lookup!$B$2:$B$5)</f>
        <v>0.1</v>
      </c>
      <c r="O454">
        <f>K454*N454</f>
        <v>0.42400000000000004</v>
      </c>
      <c r="P454">
        <f>K454-M454+O454</f>
        <v>4.4520000000000008</v>
      </c>
    </row>
    <row r="455" spans="1:16">
      <c r="A455">
        <v>454</v>
      </c>
      <c r="B455" t="s">
        <v>471</v>
      </c>
      <c r="C455" t="s">
        <v>44</v>
      </c>
      <c r="D455">
        <v>2012</v>
      </c>
      <c r="E455" t="s">
        <v>36</v>
      </c>
      <c r="F455" t="s">
        <v>49</v>
      </c>
      <c r="G455">
        <v>0.91</v>
      </c>
      <c r="H455">
        <v>0.04</v>
      </c>
      <c r="I455">
        <v>0.24</v>
      </c>
      <c r="J455">
        <v>3.07</v>
      </c>
      <c r="K455">
        <f>SUM(G455:J455)</f>
        <v>4.26</v>
      </c>
      <c r="L455">
        <f>IF(K455&gt;20,10%,5%)</f>
        <v>0.05</v>
      </c>
      <c r="M455">
        <f>K455*L455</f>
        <v>0.21299999999999999</v>
      </c>
      <c r="N455">
        <f>LOOKUP(K455,Lookup!$A$2:$A$5,Lookup!$B$2:$B$5)</f>
        <v>0.1</v>
      </c>
      <c r="O455">
        <f>K455*N455</f>
        <v>0.42599999999999999</v>
      </c>
      <c r="P455">
        <f>K455-M455+O455</f>
        <v>4.4729999999999999</v>
      </c>
    </row>
    <row r="456" spans="1:16">
      <c r="A456">
        <v>455</v>
      </c>
      <c r="B456" t="s">
        <v>472</v>
      </c>
      <c r="C456" t="s">
        <v>70</v>
      </c>
      <c r="D456">
        <v>2013</v>
      </c>
      <c r="E456" t="s">
        <v>48</v>
      </c>
      <c r="F456" t="s">
        <v>19</v>
      </c>
      <c r="G456">
        <v>0.99</v>
      </c>
      <c r="H456">
        <v>0.46</v>
      </c>
      <c r="I456">
        <v>0.22</v>
      </c>
      <c r="J456">
        <v>3.07</v>
      </c>
      <c r="K456">
        <f>SUM(G456:J456)</f>
        <v>4.74</v>
      </c>
      <c r="L456">
        <f>IF(K456&gt;20,10%,5%)</f>
        <v>0.05</v>
      </c>
      <c r="M456">
        <f>K456*L456</f>
        <v>0.23700000000000002</v>
      </c>
      <c r="N456">
        <f>LOOKUP(K456,Lookup!$A$2:$A$5,Lookup!$B$2:$B$5)</f>
        <v>0.1</v>
      </c>
      <c r="O456">
        <f>K456*N456</f>
        <v>0.47400000000000003</v>
      </c>
      <c r="P456">
        <f>K456-M456+O456</f>
        <v>4.9770000000000003</v>
      </c>
    </row>
    <row r="457" spans="1:16">
      <c r="A457">
        <v>456</v>
      </c>
      <c r="B457" t="s">
        <v>473</v>
      </c>
      <c r="C457" t="s">
        <v>26</v>
      </c>
      <c r="D457">
        <v>1994</v>
      </c>
      <c r="E457" t="s">
        <v>2</v>
      </c>
      <c r="F457" t="s">
        <v>19</v>
      </c>
      <c r="G457">
        <v>0.62</v>
      </c>
      <c r="H457">
        <v>0.55000000000000004</v>
      </c>
      <c r="I457">
        <v>0.34</v>
      </c>
      <c r="J457">
        <v>3.07</v>
      </c>
      <c r="K457">
        <f>SUM(G457:J457)</f>
        <v>4.58</v>
      </c>
      <c r="L457">
        <f>IF(K457&gt;20,10%,5%)</f>
        <v>0.05</v>
      </c>
      <c r="M457">
        <f>K457*L457</f>
        <v>0.22900000000000001</v>
      </c>
      <c r="N457">
        <f>LOOKUP(K457,Lookup!$A$2:$A$5,Lookup!$B$2:$B$5)</f>
        <v>0.1</v>
      </c>
      <c r="O457">
        <f>K457*N457</f>
        <v>0.45800000000000002</v>
      </c>
      <c r="P457">
        <f>K457-M457+O457</f>
        <v>4.8090000000000002</v>
      </c>
    </row>
    <row r="458" spans="1:16">
      <c r="A458">
        <v>457</v>
      </c>
      <c r="B458" t="s">
        <v>474</v>
      </c>
      <c r="C458" t="s">
        <v>123</v>
      </c>
      <c r="D458">
        <v>2002</v>
      </c>
      <c r="E458" t="s">
        <v>38</v>
      </c>
      <c r="F458" t="s">
        <v>115</v>
      </c>
      <c r="G458">
        <v>1.21</v>
      </c>
      <c r="H458">
        <v>0</v>
      </c>
      <c r="I458">
        <v>0.14000000000000001</v>
      </c>
      <c r="J458">
        <v>3.07</v>
      </c>
      <c r="K458">
        <f>SUM(G458:J458)</f>
        <v>4.42</v>
      </c>
      <c r="L458">
        <f>IF(K458&gt;20,10%,5%)</f>
        <v>0.05</v>
      </c>
      <c r="M458">
        <f>K458*L458</f>
        <v>0.221</v>
      </c>
      <c r="N458">
        <f>LOOKUP(K458,Lookup!$A$2:$A$5,Lookup!$B$2:$B$5)</f>
        <v>0.1</v>
      </c>
      <c r="O458">
        <f>K458*N458</f>
        <v>0.442</v>
      </c>
      <c r="P458">
        <f>K458-M458+O458</f>
        <v>4.641</v>
      </c>
    </row>
    <row r="459" spans="1:16">
      <c r="A459">
        <v>458</v>
      </c>
      <c r="B459" t="s">
        <v>475</v>
      </c>
      <c r="C459" t="s">
        <v>44</v>
      </c>
      <c r="D459">
        <v>2012</v>
      </c>
      <c r="E459" t="s">
        <v>27</v>
      </c>
      <c r="F459" t="s">
        <v>115</v>
      </c>
      <c r="G459">
        <v>0.86</v>
      </c>
      <c r="H459">
        <v>0.03</v>
      </c>
      <c r="I459">
        <v>0.24</v>
      </c>
      <c r="J459">
        <v>3.07</v>
      </c>
      <c r="K459">
        <f>SUM(G459:J459)</f>
        <v>4.1999999999999993</v>
      </c>
      <c r="L459">
        <f>IF(K459&gt;20,10%,5%)</f>
        <v>0.05</v>
      </c>
      <c r="M459">
        <f>K459*L459</f>
        <v>0.20999999999999996</v>
      </c>
      <c r="N459">
        <f>LOOKUP(K459,Lookup!$A$2:$A$5,Lookup!$B$2:$B$5)</f>
        <v>0.1</v>
      </c>
      <c r="O459">
        <f>K459*N459</f>
        <v>0.41999999999999993</v>
      </c>
      <c r="P459">
        <f>K459-M459+O459</f>
        <v>4.4099999999999993</v>
      </c>
    </row>
    <row r="460" spans="1:16">
      <c r="A460">
        <v>459</v>
      </c>
      <c r="B460" t="s">
        <v>476</v>
      </c>
      <c r="C460" t="s">
        <v>44</v>
      </c>
      <c r="D460">
        <v>2008</v>
      </c>
      <c r="E460" t="s">
        <v>48</v>
      </c>
      <c r="F460" t="s">
        <v>66</v>
      </c>
      <c r="G460">
        <v>0.84</v>
      </c>
      <c r="H460">
        <v>0</v>
      </c>
      <c r="I460">
        <v>0.28999999999999998</v>
      </c>
      <c r="J460">
        <v>3.05</v>
      </c>
      <c r="K460">
        <f>SUM(G460:J460)</f>
        <v>4.18</v>
      </c>
      <c r="L460">
        <f>IF(K460&gt;20,10%,5%)</f>
        <v>0.05</v>
      </c>
      <c r="M460">
        <f>K460*L460</f>
        <v>0.20899999999999999</v>
      </c>
      <c r="N460">
        <f>LOOKUP(K460,Lookup!$A$2:$A$5,Lookup!$B$2:$B$5)</f>
        <v>0.1</v>
      </c>
      <c r="O460">
        <f>K460*N460</f>
        <v>0.41799999999999998</v>
      </c>
      <c r="P460">
        <f>K460-M460+O460</f>
        <v>4.3889999999999993</v>
      </c>
    </row>
    <row r="461" spans="1:16">
      <c r="A461">
        <v>460</v>
      </c>
      <c r="B461" t="s">
        <v>406</v>
      </c>
      <c r="C461" t="s">
        <v>44</v>
      </c>
      <c r="D461">
        <v>2012</v>
      </c>
      <c r="E461" t="s">
        <v>36</v>
      </c>
      <c r="F461" t="s">
        <v>97</v>
      </c>
      <c r="G461">
        <v>1.35</v>
      </c>
      <c r="H461">
        <v>0.02</v>
      </c>
      <c r="I461">
        <v>0.28000000000000003</v>
      </c>
      <c r="J461">
        <v>3.04</v>
      </c>
      <c r="K461">
        <f>SUM(G461:J461)</f>
        <v>4.6900000000000004</v>
      </c>
      <c r="L461">
        <f>IF(K461&gt;20,10%,5%)</f>
        <v>0.05</v>
      </c>
      <c r="M461">
        <f>K461*L461</f>
        <v>0.23450000000000004</v>
      </c>
      <c r="N461">
        <f>LOOKUP(K461,Lookup!$A$2:$A$5,Lookup!$B$2:$B$5)</f>
        <v>0.1</v>
      </c>
      <c r="O461">
        <f>K461*N461</f>
        <v>0.46900000000000008</v>
      </c>
      <c r="P461">
        <f>K461-M461+O461</f>
        <v>4.924500000000001</v>
      </c>
    </row>
    <row r="462" spans="1:16">
      <c r="A462">
        <v>461</v>
      </c>
      <c r="B462" t="s">
        <v>477</v>
      </c>
      <c r="C462" t="s">
        <v>17</v>
      </c>
      <c r="D462">
        <v>2010</v>
      </c>
      <c r="E462" t="s">
        <v>2</v>
      </c>
      <c r="F462" t="s">
        <v>455</v>
      </c>
      <c r="G462">
        <v>0.64</v>
      </c>
      <c r="H462">
        <v>0.12</v>
      </c>
      <c r="I462">
        <v>0.22</v>
      </c>
      <c r="J462">
        <v>3.04</v>
      </c>
      <c r="K462">
        <f>SUM(G462:J462)</f>
        <v>4.0199999999999996</v>
      </c>
      <c r="L462">
        <f>IF(K462&gt;20,10%,5%)</f>
        <v>0.05</v>
      </c>
      <c r="M462">
        <f>K462*L462</f>
        <v>0.20099999999999998</v>
      </c>
      <c r="N462">
        <f>LOOKUP(K462,Lookup!$A$2:$A$5,Lookup!$B$2:$B$5)</f>
        <v>0.1</v>
      </c>
      <c r="O462">
        <f>K462*N462</f>
        <v>0.40199999999999997</v>
      </c>
      <c r="P462">
        <f>K462-M462+O462</f>
        <v>4.2209999999999992</v>
      </c>
    </row>
    <row r="463" spans="1:16">
      <c r="A463">
        <v>462</v>
      </c>
      <c r="B463" t="s">
        <v>478</v>
      </c>
      <c r="C463" t="s">
        <v>44</v>
      </c>
      <c r="D463">
        <v>2008</v>
      </c>
      <c r="E463" t="s">
        <v>48</v>
      </c>
      <c r="F463" t="s">
        <v>389</v>
      </c>
      <c r="G463">
        <v>0.8</v>
      </c>
      <c r="H463">
        <v>0.02</v>
      </c>
      <c r="I463">
        <v>0.27</v>
      </c>
      <c r="J463">
        <v>3.03</v>
      </c>
      <c r="K463">
        <f>SUM(G463:J463)</f>
        <v>4.12</v>
      </c>
      <c r="L463">
        <f>IF(K463&gt;20,10%,5%)</f>
        <v>0.05</v>
      </c>
      <c r="M463">
        <f>K463*L463</f>
        <v>0.20600000000000002</v>
      </c>
      <c r="N463">
        <f>LOOKUP(K463,Lookup!$A$2:$A$5,Lookup!$B$2:$B$5)</f>
        <v>0.1</v>
      </c>
      <c r="O463">
        <f>K463*N463</f>
        <v>0.41200000000000003</v>
      </c>
      <c r="P463">
        <f>K463-M463+O463</f>
        <v>4.3260000000000005</v>
      </c>
    </row>
    <row r="464" spans="1:16">
      <c r="A464">
        <v>463</v>
      </c>
      <c r="B464" t="s">
        <v>479</v>
      </c>
      <c r="C464" t="s">
        <v>91</v>
      </c>
      <c r="D464">
        <v>1995</v>
      </c>
      <c r="E464" t="s">
        <v>2</v>
      </c>
      <c r="F464" t="s">
        <v>97</v>
      </c>
      <c r="G464">
        <v>1.33</v>
      </c>
      <c r="H464">
        <v>0</v>
      </c>
      <c r="I464">
        <v>0.16</v>
      </c>
      <c r="J464">
        <v>3.03</v>
      </c>
      <c r="K464">
        <f>SUM(G464:J464)</f>
        <v>4.5199999999999996</v>
      </c>
      <c r="L464">
        <f>IF(K464&gt;20,10%,5%)</f>
        <v>0.05</v>
      </c>
      <c r="M464">
        <f>K464*L464</f>
        <v>0.22599999999999998</v>
      </c>
      <c r="N464">
        <f>LOOKUP(K464,Lookup!$A$2:$A$5,Lookup!$B$2:$B$5)</f>
        <v>0.1</v>
      </c>
      <c r="O464">
        <f>K464*N464</f>
        <v>0.45199999999999996</v>
      </c>
      <c r="P464">
        <f>K464-M464+O464</f>
        <v>4.7459999999999996</v>
      </c>
    </row>
    <row r="465" spans="1:16">
      <c r="A465">
        <v>464</v>
      </c>
      <c r="B465" t="s">
        <v>480</v>
      </c>
      <c r="C465" t="s">
        <v>47</v>
      </c>
      <c r="D465">
        <v>2009</v>
      </c>
      <c r="E465" t="s">
        <v>36</v>
      </c>
      <c r="F465" t="s">
        <v>64</v>
      </c>
      <c r="G465">
        <v>1.07</v>
      </c>
      <c r="H465">
        <v>0.08</v>
      </c>
      <c r="I465">
        <v>0.47</v>
      </c>
      <c r="J465">
        <v>3.02</v>
      </c>
      <c r="K465">
        <f>SUM(G465:J465)</f>
        <v>4.6400000000000006</v>
      </c>
      <c r="L465">
        <f>IF(K465&gt;20,10%,5%)</f>
        <v>0.05</v>
      </c>
      <c r="M465">
        <f>K465*L465</f>
        <v>0.23200000000000004</v>
      </c>
      <c r="N465">
        <f>LOOKUP(K465,Lookup!$A$2:$A$5,Lookup!$B$2:$B$5)</f>
        <v>0.1</v>
      </c>
      <c r="O465">
        <f>K465*N465</f>
        <v>0.46400000000000008</v>
      </c>
      <c r="P465">
        <f>K465-M465+O465</f>
        <v>4.8720000000000008</v>
      </c>
    </row>
    <row r="466" spans="1:16">
      <c r="A466">
        <v>465</v>
      </c>
      <c r="B466" t="s">
        <v>481</v>
      </c>
      <c r="C466" t="s">
        <v>118</v>
      </c>
      <c r="D466">
        <v>2002</v>
      </c>
      <c r="E466" t="s">
        <v>48</v>
      </c>
      <c r="F466" t="s">
        <v>97</v>
      </c>
      <c r="G466">
        <v>1.04</v>
      </c>
      <c r="H466">
        <v>0</v>
      </c>
      <c r="I466">
        <v>0.13</v>
      </c>
      <c r="J466">
        <v>3.02</v>
      </c>
      <c r="K466">
        <f>SUM(G466:J466)</f>
        <v>4.1899999999999995</v>
      </c>
      <c r="L466">
        <f>IF(K466&gt;20,10%,5%)</f>
        <v>0.05</v>
      </c>
      <c r="M466">
        <f>K466*L466</f>
        <v>0.20949999999999999</v>
      </c>
      <c r="N466">
        <f>LOOKUP(K466,Lookup!$A$2:$A$5,Lookup!$B$2:$B$5)</f>
        <v>0.1</v>
      </c>
      <c r="O466">
        <f>K466*N466</f>
        <v>0.41899999999999998</v>
      </c>
      <c r="P466">
        <f>K466-M466+O466</f>
        <v>4.3994999999999997</v>
      </c>
    </row>
    <row r="467" spans="1:16">
      <c r="A467">
        <v>466</v>
      </c>
      <c r="B467" t="s">
        <v>482</v>
      </c>
      <c r="C467" t="s">
        <v>21</v>
      </c>
      <c r="D467">
        <v>1987</v>
      </c>
      <c r="E467" t="s">
        <v>77</v>
      </c>
      <c r="F467" t="s">
        <v>19</v>
      </c>
      <c r="G467">
        <v>0.47</v>
      </c>
      <c r="H467">
        <v>0.45</v>
      </c>
      <c r="I467">
        <v>7.0000000000000007E-2</v>
      </c>
      <c r="J467">
        <v>3.02</v>
      </c>
      <c r="K467">
        <f>SUM(G467:J467)</f>
        <v>4.01</v>
      </c>
      <c r="L467">
        <f>IF(K467&gt;20,10%,5%)</f>
        <v>0.05</v>
      </c>
      <c r="M467">
        <f>K467*L467</f>
        <v>0.20050000000000001</v>
      </c>
      <c r="N467">
        <f>LOOKUP(K467,Lookup!$A$2:$A$5,Lookup!$B$2:$B$5)</f>
        <v>0.1</v>
      </c>
      <c r="O467">
        <f>K467*N467</f>
        <v>0.40100000000000002</v>
      </c>
      <c r="P467">
        <f>K467-M467+O467</f>
        <v>4.2104999999999997</v>
      </c>
    </row>
    <row r="468" spans="1:16">
      <c r="A468">
        <v>467</v>
      </c>
      <c r="B468" t="s">
        <v>483</v>
      </c>
      <c r="C468" t="s">
        <v>51</v>
      </c>
      <c r="D468">
        <v>2002</v>
      </c>
      <c r="E468" t="s">
        <v>18</v>
      </c>
      <c r="F468" t="s">
        <v>389</v>
      </c>
      <c r="G468">
        <v>1.1299999999999999</v>
      </c>
      <c r="H468">
        <v>7.0000000000000007E-2</v>
      </c>
      <c r="I468">
        <v>0.38</v>
      </c>
      <c r="J468">
        <v>3.02</v>
      </c>
      <c r="K468">
        <f>SUM(G468:J468)</f>
        <v>4.5999999999999996</v>
      </c>
      <c r="L468">
        <f>IF(K468&gt;20,10%,5%)</f>
        <v>0.05</v>
      </c>
      <c r="M468">
        <f>K468*L468</f>
        <v>0.22999999999999998</v>
      </c>
      <c r="N468">
        <f>LOOKUP(K468,Lookup!$A$2:$A$5,Lookup!$B$2:$B$5)</f>
        <v>0.1</v>
      </c>
      <c r="O468">
        <f>K468*N468</f>
        <v>0.45999999999999996</v>
      </c>
      <c r="P468">
        <f>K468-M468+O468</f>
        <v>4.8299999999999992</v>
      </c>
    </row>
    <row r="469" spans="1:16">
      <c r="A469">
        <v>468</v>
      </c>
      <c r="B469" t="s">
        <v>484</v>
      </c>
      <c r="C469" t="s">
        <v>145</v>
      </c>
      <c r="D469">
        <v>2015</v>
      </c>
      <c r="E469" t="s">
        <v>36</v>
      </c>
      <c r="F469" t="s">
        <v>45</v>
      </c>
      <c r="G469">
        <v>0.32</v>
      </c>
      <c r="H469">
        <v>0</v>
      </c>
      <c r="I469">
        <v>0.31</v>
      </c>
      <c r="J469">
        <v>3</v>
      </c>
      <c r="K469">
        <f>SUM(G469:J469)</f>
        <v>3.63</v>
      </c>
      <c r="L469">
        <f>IF(K469&gt;20,10%,5%)</f>
        <v>0.05</v>
      </c>
      <c r="M469">
        <f>K469*L469</f>
        <v>0.18149999999999999</v>
      </c>
      <c r="N469">
        <f>LOOKUP(K469,Lookup!$A$2:$A$5,Lookup!$B$2:$B$5)</f>
        <v>0.1</v>
      </c>
      <c r="O469">
        <f>K469*N469</f>
        <v>0.36299999999999999</v>
      </c>
      <c r="P469">
        <f>K469-M469+O469</f>
        <v>3.8115000000000001</v>
      </c>
    </row>
    <row r="470" spans="1:16">
      <c r="A470">
        <v>469</v>
      </c>
      <c r="B470" t="s">
        <v>485</v>
      </c>
      <c r="C470" t="s">
        <v>44</v>
      </c>
      <c r="D470">
        <v>2012</v>
      </c>
      <c r="E470" t="s">
        <v>18</v>
      </c>
      <c r="F470" t="s">
        <v>49</v>
      </c>
      <c r="G470">
        <v>0.21</v>
      </c>
      <c r="H470">
        <v>0.01</v>
      </c>
      <c r="I470">
        <v>0.19</v>
      </c>
      <c r="J470">
        <v>3</v>
      </c>
      <c r="K470">
        <f>SUM(G470:J470)</f>
        <v>3.41</v>
      </c>
      <c r="L470">
        <f>IF(K470&gt;20,10%,5%)</f>
        <v>0.05</v>
      </c>
      <c r="M470">
        <f>K470*L470</f>
        <v>0.17050000000000001</v>
      </c>
      <c r="N470">
        <f>LOOKUP(K470,Lookup!$A$2:$A$5,Lookup!$B$2:$B$5)</f>
        <v>0.1</v>
      </c>
      <c r="O470">
        <f>K470*N470</f>
        <v>0.34100000000000003</v>
      </c>
      <c r="P470">
        <f>K470-M470+O470</f>
        <v>3.5805000000000002</v>
      </c>
    </row>
    <row r="471" spans="1:16">
      <c r="A471">
        <v>470</v>
      </c>
      <c r="B471" t="s">
        <v>486</v>
      </c>
      <c r="C471" t="s">
        <v>51</v>
      </c>
      <c r="D471">
        <v>2007</v>
      </c>
      <c r="E471" t="s">
        <v>77</v>
      </c>
      <c r="F471" t="s">
        <v>132</v>
      </c>
      <c r="G471">
        <v>0</v>
      </c>
      <c r="H471">
        <v>0.76</v>
      </c>
      <c r="I471">
        <v>1.0900000000000001</v>
      </c>
      <c r="J471">
        <v>3</v>
      </c>
      <c r="K471">
        <f>SUM(G471:J471)</f>
        <v>4.8499999999999996</v>
      </c>
      <c r="L471">
        <f>IF(K471&gt;20,10%,5%)</f>
        <v>0.05</v>
      </c>
      <c r="M471">
        <f>K471*L471</f>
        <v>0.24249999999999999</v>
      </c>
      <c r="N471">
        <f>LOOKUP(K471,Lookup!$A$2:$A$5,Lookup!$B$2:$B$5)</f>
        <v>0.1</v>
      </c>
      <c r="O471">
        <f>K471*N471</f>
        <v>0.48499999999999999</v>
      </c>
      <c r="P471">
        <f>K471-M471+O471</f>
        <v>5.0925000000000002</v>
      </c>
    </row>
    <row r="472" spans="1:16">
      <c r="A472">
        <v>471</v>
      </c>
      <c r="B472" t="s">
        <v>487</v>
      </c>
      <c r="C472" t="s">
        <v>51</v>
      </c>
      <c r="D472" t="s">
        <v>229</v>
      </c>
      <c r="E472" t="s">
        <v>77</v>
      </c>
      <c r="F472" t="s">
        <v>229</v>
      </c>
      <c r="G472">
        <v>1.02</v>
      </c>
      <c r="H472">
        <v>0</v>
      </c>
      <c r="I472">
        <v>0.41</v>
      </c>
      <c r="J472">
        <v>3</v>
      </c>
      <c r="K472">
        <f>SUM(G472:J472)</f>
        <v>4.43</v>
      </c>
      <c r="L472">
        <f>IF(K472&gt;20,10%,5%)</f>
        <v>0.05</v>
      </c>
      <c r="M472">
        <f>K472*L472</f>
        <v>0.2215</v>
      </c>
      <c r="N472">
        <f>LOOKUP(K472,Lookup!$A$2:$A$5,Lookup!$B$2:$B$5)</f>
        <v>0.1</v>
      </c>
      <c r="O472">
        <f>K472*N472</f>
        <v>0.443</v>
      </c>
      <c r="P472">
        <f>K472-M472+O472</f>
        <v>4.6514999999999995</v>
      </c>
    </row>
    <row r="473" spans="1:16">
      <c r="A473">
        <v>472</v>
      </c>
      <c r="B473" t="s">
        <v>488</v>
      </c>
      <c r="C473" t="s">
        <v>72</v>
      </c>
      <c r="D473">
        <v>2014</v>
      </c>
      <c r="E473" t="s">
        <v>48</v>
      </c>
      <c r="F473" t="s">
        <v>210</v>
      </c>
      <c r="G473">
        <v>1.41</v>
      </c>
      <c r="H473">
        <v>0.05</v>
      </c>
      <c r="I473">
        <v>0.53</v>
      </c>
      <c r="J473">
        <v>2.99</v>
      </c>
      <c r="K473">
        <f>SUM(G473:J473)</f>
        <v>4.9800000000000004</v>
      </c>
      <c r="L473">
        <f>IF(K473&gt;20,10%,5%)</f>
        <v>0.05</v>
      </c>
      <c r="M473">
        <f>K473*L473</f>
        <v>0.24900000000000003</v>
      </c>
      <c r="N473">
        <f>LOOKUP(K473,Lookup!$A$2:$A$5,Lookup!$B$2:$B$5)</f>
        <v>0.1</v>
      </c>
      <c r="O473">
        <f>K473*N473</f>
        <v>0.49800000000000005</v>
      </c>
      <c r="P473">
        <f>K473-M473+O473</f>
        <v>5.229000000000001</v>
      </c>
    </row>
    <row r="474" spans="1:16">
      <c r="A474">
        <v>473</v>
      </c>
      <c r="B474" t="s">
        <v>489</v>
      </c>
      <c r="C474" t="s">
        <v>53</v>
      </c>
      <c r="D474">
        <v>1993</v>
      </c>
      <c r="E474" t="s">
        <v>36</v>
      </c>
      <c r="F474" t="s">
        <v>19</v>
      </c>
      <c r="G474">
        <v>0.51</v>
      </c>
      <c r="H474">
        <v>0.8</v>
      </c>
      <c r="I474">
        <v>7.0000000000000007E-2</v>
      </c>
      <c r="J474">
        <v>2.99</v>
      </c>
      <c r="K474">
        <f>SUM(G474:J474)</f>
        <v>4.37</v>
      </c>
      <c r="L474">
        <f>IF(K474&gt;20,10%,5%)</f>
        <v>0.05</v>
      </c>
      <c r="M474">
        <f>K474*L474</f>
        <v>0.21850000000000003</v>
      </c>
      <c r="N474">
        <f>LOOKUP(K474,Lookup!$A$2:$A$5,Lookup!$B$2:$B$5)</f>
        <v>0.1</v>
      </c>
      <c r="O474">
        <f>K474*N474</f>
        <v>0.43700000000000006</v>
      </c>
      <c r="P474">
        <f>K474-M474+O474</f>
        <v>4.5885000000000007</v>
      </c>
    </row>
    <row r="475" spans="1:16">
      <c r="A475">
        <v>474</v>
      </c>
      <c r="B475" t="s">
        <v>490</v>
      </c>
      <c r="C475" t="s">
        <v>123</v>
      </c>
      <c r="D475">
        <v>2000</v>
      </c>
      <c r="E475" t="s">
        <v>33</v>
      </c>
      <c r="F475" t="s">
        <v>115</v>
      </c>
      <c r="G475">
        <v>1.18</v>
      </c>
      <c r="H475">
        <v>0</v>
      </c>
      <c r="I475">
        <v>0.13</v>
      </c>
      <c r="J475">
        <v>2.99</v>
      </c>
      <c r="K475">
        <f>SUM(G475:J475)</f>
        <v>4.3000000000000007</v>
      </c>
      <c r="L475">
        <f>IF(K475&gt;20,10%,5%)</f>
        <v>0.05</v>
      </c>
      <c r="M475">
        <f>K475*L475</f>
        <v>0.21500000000000005</v>
      </c>
      <c r="N475">
        <f>LOOKUP(K475,Lookup!$A$2:$A$5,Lookup!$B$2:$B$5)</f>
        <v>0.1</v>
      </c>
      <c r="O475">
        <f>K475*N475</f>
        <v>0.4300000000000001</v>
      </c>
      <c r="P475">
        <f>K475-M475+O475</f>
        <v>4.5150000000000006</v>
      </c>
    </row>
    <row r="476" spans="1:16">
      <c r="A476">
        <v>475</v>
      </c>
      <c r="B476" t="s">
        <v>491</v>
      </c>
      <c r="C476" t="s">
        <v>51</v>
      </c>
      <c r="D476">
        <v>2002</v>
      </c>
      <c r="E476" t="s">
        <v>18</v>
      </c>
      <c r="F476" t="s">
        <v>188</v>
      </c>
      <c r="G476">
        <v>1.26</v>
      </c>
      <c r="H476">
        <v>1.1599999999999999</v>
      </c>
      <c r="I476">
        <v>0.45</v>
      </c>
      <c r="J476">
        <v>2.99</v>
      </c>
      <c r="K476">
        <f>SUM(G476:J476)</f>
        <v>5.86</v>
      </c>
      <c r="L476">
        <f>IF(K476&gt;20,10%,5%)</f>
        <v>0.05</v>
      </c>
      <c r="M476">
        <f>K476*L476</f>
        <v>0.29300000000000004</v>
      </c>
      <c r="N476">
        <f>LOOKUP(K476,Lookup!$A$2:$A$5,Lookup!$B$2:$B$5)</f>
        <v>0.1</v>
      </c>
      <c r="O476">
        <f>K476*N476</f>
        <v>0.58600000000000008</v>
      </c>
      <c r="P476">
        <f>K476-M476+O476</f>
        <v>6.1530000000000005</v>
      </c>
    </row>
    <row r="477" spans="1:16">
      <c r="A477">
        <v>476</v>
      </c>
      <c r="B477" t="s">
        <v>492</v>
      </c>
      <c r="C477" t="s">
        <v>51</v>
      </c>
      <c r="D477">
        <v>2001</v>
      </c>
      <c r="E477" t="s">
        <v>48</v>
      </c>
      <c r="F477" t="s">
        <v>180</v>
      </c>
      <c r="G477">
        <v>0.86</v>
      </c>
      <c r="H477">
        <v>0.64</v>
      </c>
      <c r="I477">
        <v>0.13</v>
      </c>
      <c r="J477">
        <v>2.99</v>
      </c>
      <c r="K477">
        <f>SUM(G477:J477)</f>
        <v>4.62</v>
      </c>
      <c r="L477">
        <f>IF(K477&gt;20,10%,5%)</f>
        <v>0.05</v>
      </c>
      <c r="M477">
        <f>K477*L477</f>
        <v>0.23100000000000001</v>
      </c>
      <c r="N477">
        <f>LOOKUP(K477,Lookup!$A$2:$A$5,Lookup!$B$2:$B$5)</f>
        <v>0.1</v>
      </c>
      <c r="O477">
        <f>K477*N477</f>
        <v>0.46200000000000002</v>
      </c>
      <c r="P477">
        <f>K477-M477+O477</f>
        <v>4.851</v>
      </c>
    </row>
    <row r="478" spans="1:16">
      <c r="A478">
        <v>477</v>
      </c>
      <c r="B478" t="s">
        <v>493</v>
      </c>
      <c r="C478" t="s">
        <v>70</v>
      </c>
      <c r="D478">
        <v>2015</v>
      </c>
      <c r="E478" t="s">
        <v>38</v>
      </c>
      <c r="F478" t="s">
        <v>19</v>
      </c>
      <c r="G478">
        <v>1</v>
      </c>
      <c r="H478">
        <v>1.39</v>
      </c>
      <c r="I478">
        <v>0.12</v>
      </c>
      <c r="J478">
        <v>2.98</v>
      </c>
      <c r="K478">
        <f>SUM(G478:J478)</f>
        <v>5.49</v>
      </c>
      <c r="L478">
        <f>IF(K478&gt;20,10%,5%)</f>
        <v>0.05</v>
      </c>
      <c r="M478">
        <f>K478*L478</f>
        <v>0.27450000000000002</v>
      </c>
      <c r="N478">
        <f>LOOKUP(K478,Lookup!$A$2:$A$5,Lookup!$B$2:$B$5)</f>
        <v>0.1</v>
      </c>
      <c r="O478">
        <f>K478*N478</f>
        <v>0.54900000000000004</v>
      </c>
      <c r="P478">
        <f>K478-M478+O478</f>
        <v>5.7645000000000008</v>
      </c>
    </row>
    <row r="479" spans="1:16">
      <c r="A479">
        <v>478</v>
      </c>
      <c r="B479" t="s">
        <v>404</v>
      </c>
      <c r="C479" t="s">
        <v>47</v>
      </c>
      <c r="D479">
        <v>2010</v>
      </c>
      <c r="E479" t="s">
        <v>36</v>
      </c>
      <c r="F479" t="s">
        <v>115</v>
      </c>
      <c r="G479">
        <v>1.1200000000000001</v>
      </c>
      <c r="H479">
        <v>0.08</v>
      </c>
      <c r="I479">
        <v>0.45</v>
      </c>
      <c r="J479">
        <v>2.97</v>
      </c>
      <c r="K479">
        <f>SUM(G479:J479)</f>
        <v>4.62</v>
      </c>
      <c r="L479">
        <f>IF(K479&gt;20,10%,5%)</f>
        <v>0.05</v>
      </c>
      <c r="M479">
        <f>K479*L479</f>
        <v>0.23100000000000001</v>
      </c>
      <c r="N479">
        <f>LOOKUP(K479,Lookup!$A$2:$A$5,Lookup!$B$2:$B$5)</f>
        <v>0.1</v>
      </c>
      <c r="O479">
        <f>K479*N479</f>
        <v>0.46200000000000002</v>
      </c>
      <c r="P479">
        <f>K479-M479+O479</f>
        <v>4.851</v>
      </c>
    </row>
    <row r="480" spans="1:16">
      <c r="A480">
        <v>479</v>
      </c>
      <c r="B480" t="s">
        <v>494</v>
      </c>
      <c r="C480" t="s">
        <v>123</v>
      </c>
      <c r="D480">
        <v>2014</v>
      </c>
      <c r="E480" t="s">
        <v>38</v>
      </c>
      <c r="F480" t="s">
        <v>115</v>
      </c>
      <c r="G480">
        <v>1.72</v>
      </c>
      <c r="H480">
        <v>0</v>
      </c>
      <c r="I480">
        <v>0.28999999999999998</v>
      </c>
      <c r="J480">
        <v>2.97</v>
      </c>
      <c r="K480">
        <f>SUM(G480:J480)</f>
        <v>4.9800000000000004</v>
      </c>
      <c r="L480">
        <f>IF(K480&gt;20,10%,5%)</f>
        <v>0.05</v>
      </c>
      <c r="M480">
        <f>K480*L480</f>
        <v>0.24900000000000003</v>
      </c>
      <c r="N480">
        <f>LOOKUP(K480,Lookup!$A$2:$A$5,Lookup!$B$2:$B$5)</f>
        <v>0.1</v>
      </c>
      <c r="O480">
        <f>K480*N480</f>
        <v>0.49800000000000005</v>
      </c>
      <c r="P480">
        <f>K480-M480+O480</f>
        <v>5.229000000000001</v>
      </c>
    </row>
    <row r="481" spans="1:16">
      <c r="A481">
        <v>480</v>
      </c>
      <c r="B481" t="s">
        <v>495</v>
      </c>
      <c r="C481" t="s">
        <v>123</v>
      </c>
      <c r="D481">
        <v>2011</v>
      </c>
      <c r="E481" t="s">
        <v>27</v>
      </c>
      <c r="F481" t="s">
        <v>115</v>
      </c>
      <c r="G481">
        <v>1.01</v>
      </c>
      <c r="H481">
        <v>0</v>
      </c>
      <c r="I481">
        <v>0.38</v>
      </c>
      <c r="J481">
        <v>2.97</v>
      </c>
      <c r="K481">
        <f>SUM(G481:J481)</f>
        <v>4.3600000000000003</v>
      </c>
      <c r="L481">
        <f>IF(K481&gt;20,10%,5%)</f>
        <v>0.05</v>
      </c>
      <c r="M481">
        <f>K481*L481</f>
        <v>0.21800000000000003</v>
      </c>
      <c r="N481">
        <f>LOOKUP(K481,Lookup!$A$2:$A$5,Lookup!$B$2:$B$5)</f>
        <v>0.1</v>
      </c>
      <c r="O481">
        <f>K481*N481</f>
        <v>0.43600000000000005</v>
      </c>
      <c r="P481">
        <f>K481-M481+O481</f>
        <v>4.5780000000000003</v>
      </c>
    </row>
    <row r="482" spans="1:16">
      <c r="A482">
        <v>481</v>
      </c>
      <c r="B482" t="s">
        <v>496</v>
      </c>
      <c r="C482" t="s">
        <v>51</v>
      </c>
      <c r="D482">
        <v>2003</v>
      </c>
      <c r="E482" t="s">
        <v>2</v>
      </c>
      <c r="F482" t="s">
        <v>126</v>
      </c>
      <c r="G482">
        <v>1.37</v>
      </c>
      <c r="H482">
        <v>0.06</v>
      </c>
      <c r="I482">
        <v>0.49</v>
      </c>
      <c r="J482">
        <v>2.96</v>
      </c>
      <c r="K482">
        <f>SUM(G482:J482)</f>
        <v>4.88</v>
      </c>
      <c r="L482">
        <f>IF(K482&gt;20,10%,5%)</f>
        <v>0.05</v>
      </c>
      <c r="M482">
        <f>K482*L482</f>
        <v>0.24399999999999999</v>
      </c>
      <c r="N482">
        <f>LOOKUP(K482,Lookup!$A$2:$A$5,Lookup!$B$2:$B$5)</f>
        <v>0.1</v>
      </c>
      <c r="O482">
        <f>K482*N482</f>
        <v>0.48799999999999999</v>
      </c>
      <c r="P482">
        <f>K482-M482+O482</f>
        <v>5.1240000000000006</v>
      </c>
    </row>
    <row r="483" spans="1:16">
      <c r="A483">
        <v>482</v>
      </c>
      <c r="B483" t="s">
        <v>497</v>
      </c>
      <c r="C483" t="s">
        <v>31</v>
      </c>
      <c r="D483">
        <v>2008</v>
      </c>
      <c r="E483" t="s">
        <v>2</v>
      </c>
      <c r="F483" t="s">
        <v>19</v>
      </c>
      <c r="G483">
        <v>0.04</v>
      </c>
      <c r="H483">
        <v>1.19</v>
      </c>
      <c r="I483">
        <v>0.15</v>
      </c>
      <c r="J483">
        <v>2.96</v>
      </c>
      <c r="K483">
        <f>SUM(G483:J483)</f>
        <v>4.34</v>
      </c>
      <c r="L483">
        <f>IF(K483&gt;20,10%,5%)</f>
        <v>0.05</v>
      </c>
      <c r="M483">
        <f>K483*L483</f>
        <v>0.217</v>
      </c>
      <c r="N483">
        <f>LOOKUP(K483,Lookup!$A$2:$A$5,Lookup!$B$2:$B$5)</f>
        <v>0.1</v>
      </c>
      <c r="O483">
        <f>K483*N483</f>
        <v>0.434</v>
      </c>
      <c r="P483">
        <f>K483-M483+O483</f>
        <v>4.5570000000000004</v>
      </c>
    </row>
    <row r="484" spans="1:16">
      <c r="A484">
        <v>483</v>
      </c>
      <c r="B484" t="s">
        <v>498</v>
      </c>
      <c r="C484" t="s">
        <v>51</v>
      </c>
      <c r="D484">
        <v>2002</v>
      </c>
      <c r="E484" t="s">
        <v>48</v>
      </c>
      <c r="F484" t="s">
        <v>227</v>
      </c>
      <c r="G484">
        <v>1.1499999999999999</v>
      </c>
      <c r="H484">
        <v>0.04</v>
      </c>
      <c r="I484">
        <v>0.41</v>
      </c>
      <c r="J484">
        <v>2.96</v>
      </c>
      <c r="K484">
        <f>SUM(G484:J484)</f>
        <v>4.5599999999999996</v>
      </c>
      <c r="L484">
        <f>IF(K484&gt;20,10%,5%)</f>
        <v>0.05</v>
      </c>
      <c r="M484">
        <f>K484*L484</f>
        <v>0.22799999999999998</v>
      </c>
      <c r="N484">
        <f>LOOKUP(K484,Lookup!$A$2:$A$5,Lookup!$B$2:$B$5)</f>
        <v>0.1</v>
      </c>
      <c r="O484">
        <f>K484*N484</f>
        <v>0.45599999999999996</v>
      </c>
      <c r="P484">
        <f>K484-M484+O484</f>
        <v>4.7880000000000003</v>
      </c>
    </row>
    <row r="485" spans="1:16">
      <c r="A485">
        <v>484</v>
      </c>
      <c r="B485" t="s">
        <v>308</v>
      </c>
      <c r="C485" t="s">
        <v>44</v>
      </c>
      <c r="D485">
        <v>2009</v>
      </c>
      <c r="E485" t="s">
        <v>77</v>
      </c>
      <c r="F485" t="s">
        <v>180</v>
      </c>
      <c r="G485">
        <v>0.71</v>
      </c>
      <c r="H485">
        <v>0.15</v>
      </c>
      <c r="I485">
        <v>0.26</v>
      </c>
      <c r="J485">
        <v>2.95</v>
      </c>
      <c r="K485">
        <f>SUM(G485:J485)</f>
        <v>4.07</v>
      </c>
      <c r="L485">
        <f>IF(K485&gt;20,10%,5%)</f>
        <v>0.05</v>
      </c>
      <c r="M485">
        <f>K485*L485</f>
        <v>0.20350000000000001</v>
      </c>
      <c r="N485">
        <f>LOOKUP(K485,Lookup!$A$2:$A$5,Lookup!$B$2:$B$5)</f>
        <v>0.1</v>
      </c>
      <c r="O485">
        <f>K485*N485</f>
        <v>0.40700000000000003</v>
      </c>
      <c r="P485">
        <f>K485-M485+O485</f>
        <v>4.2735000000000003</v>
      </c>
    </row>
    <row r="486" spans="1:16">
      <c r="A486">
        <v>485</v>
      </c>
      <c r="B486" t="s">
        <v>499</v>
      </c>
      <c r="C486" t="s">
        <v>83</v>
      </c>
      <c r="D486">
        <v>1996</v>
      </c>
      <c r="E486" t="s">
        <v>23</v>
      </c>
      <c r="F486" t="s">
        <v>19</v>
      </c>
      <c r="G486">
        <v>0.57999999999999996</v>
      </c>
      <c r="H486">
        <v>0.34</v>
      </c>
      <c r="I486">
        <v>0.04</v>
      </c>
      <c r="J486">
        <v>2.94</v>
      </c>
      <c r="K486">
        <f>SUM(G486:J486)</f>
        <v>3.9</v>
      </c>
      <c r="L486">
        <f>IF(K486&gt;20,10%,5%)</f>
        <v>0.05</v>
      </c>
      <c r="M486">
        <f>K486*L486</f>
        <v>0.19500000000000001</v>
      </c>
      <c r="N486">
        <f>LOOKUP(K486,Lookup!$A$2:$A$5,Lookup!$B$2:$B$5)</f>
        <v>0.1</v>
      </c>
      <c r="O486">
        <f>K486*N486</f>
        <v>0.39</v>
      </c>
      <c r="P486">
        <f>K486-M486+O486</f>
        <v>4.0949999999999998</v>
      </c>
    </row>
    <row r="487" spans="1:16">
      <c r="A487">
        <v>486</v>
      </c>
      <c r="B487" t="s">
        <v>500</v>
      </c>
      <c r="C487" t="s">
        <v>51</v>
      </c>
      <c r="D487">
        <v>2003</v>
      </c>
      <c r="E487" t="s">
        <v>36</v>
      </c>
      <c r="F487" t="s">
        <v>64</v>
      </c>
      <c r="G487">
        <v>0.51</v>
      </c>
      <c r="H487">
        <v>0.06</v>
      </c>
      <c r="I487">
        <v>0.15</v>
      </c>
      <c r="J487">
        <v>2.94</v>
      </c>
      <c r="K487">
        <f>SUM(G487:J487)</f>
        <v>3.66</v>
      </c>
      <c r="L487">
        <f>IF(K487&gt;20,10%,5%)</f>
        <v>0.05</v>
      </c>
      <c r="M487">
        <f>K487*L487</f>
        <v>0.18300000000000002</v>
      </c>
      <c r="N487">
        <f>LOOKUP(K487,Lookup!$A$2:$A$5,Lookup!$B$2:$B$5)</f>
        <v>0.1</v>
      </c>
      <c r="O487">
        <f>K487*N487</f>
        <v>0.36600000000000005</v>
      </c>
      <c r="P487">
        <f>K487-M487+O487</f>
        <v>3.8430000000000004</v>
      </c>
    </row>
    <row r="488" spans="1:16">
      <c r="A488">
        <v>487</v>
      </c>
      <c r="B488" t="s">
        <v>501</v>
      </c>
      <c r="C488" t="s">
        <v>51</v>
      </c>
      <c r="D488">
        <v>2005</v>
      </c>
      <c r="E488" t="s">
        <v>77</v>
      </c>
      <c r="F488" t="s">
        <v>389</v>
      </c>
      <c r="G488">
        <v>1.1100000000000001</v>
      </c>
      <c r="H488">
        <v>0.04</v>
      </c>
      <c r="I488">
        <v>0.33</v>
      </c>
      <c r="J488">
        <v>2.94</v>
      </c>
      <c r="K488">
        <f>SUM(G488:J488)</f>
        <v>4.42</v>
      </c>
      <c r="L488">
        <f>IF(K488&gt;20,10%,5%)</f>
        <v>0.05</v>
      </c>
      <c r="M488">
        <f>K488*L488</f>
        <v>0.221</v>
      </c>
      <c r="N488">
        <f>LOOKUP(K488,Lookup!$A$2:$A$5,Lookup!$B$2:$B$5)</f>
        <v>0.1</v>
      </c>
      <c r="O488">
        <f>K488*N488</f>
        <v>0.442</v>
      </c>
      <c r="P488">
        <f>K488-M488+O488</f>
        <v>4.641</v>
      </c>
    </row>
    <row r="489" spans="1:16">
      <c r="A489">
        <v>488</v>
      </c>
      <c r="B489" t="s">
        <v>502</v>
      </c>
      <c r="C489" t="s">
        <v>47</v>
      </c>
      <c r="D489">
        <v>2009</v>
      </c>
      <c r="E489" t="s">
        <v>48</v>
      </c>
      <c r="F489" t="s">
        <v>64</v>
      </c>
      <c r="G489">
        <v>0.69</v>
      </c>
      <c r="H489">
        <v>0.12</v>
      </c>
      <c r="I489">
        <v>0.37</v>
      </c>
      <c r="J489">
        <v>2.94</v>
      </c>
      <c r="K489">
        <f>SUM(G489:J489)</f>
        <v>4.12</v>
      </c>
      <c r="L489">
        <f>IF(K489&gt;20,10%,5%)</f>
        <v>0.05</v>
      </c>
      <c r="M489">
        <f>K489*L489</f>
        <v>0.20600000000000002</v>
      </c>
      <c r="N489">
        <f>LOOKUP(K489,Lookup!$A$2:$A$5,Lookup!$B$2:$B$5)</f>
        <v>0.1</v>
      </c>
      <c r="O489">
        <f>K489*N489</f>
        <v>0.41200000000000003</v>
      </c>
      <c r="P489">
        <f>K489-M489+O489</f>
        <v>4.3260000000000005</v>
      </c>
    </row>
    <row r="490" spans="1:16">
      <c r="A490">
        <v>489</v>
      </c>
      <c r="B490" t="s">
        <v>503</v>
      </c>
      <c r="C490" t="s">
        <v>60</v>
      </c>
      <c r="D490">
        <v>2001</v>
      </c>
      <c r="E490" t="s">
        <v>29</v>
      </c>
      <c r="F490" t="s">
        <v>132</v>
      </c>
      <c r="G490">
        <v>0.77</v>
      </c>
      <c r="H490">
        <v>0.05</v>
      </c>
      <c r="I490">
        <v>0.05</v>
      </c>
      <c r="J490">
        <v>2.94</v>
      </c>
      <c r="K490">
        <f>SUM(G490:J490)</f>
        <v>3.81</v>
      </c>
      <c r="L490">
        <f>IF(K490&gt;20,10%,5%)</f>
        <v>0.05</v>
      </c>
      <c r="M490">
        <f>K490*L490</f>
        <v>0.1905</v>
      </c>
      <c r="N490">
        <f>LOOKUP(K490,Lookup!$A$2:$A$5,Lookup!$B$2:$B$5)</f>
        <v>0.1</v>
      </c>
      <c r="O490">
        <f>K490*N490</f>
        <v>0.38100000000000001</v>
      </c>
      <c r="P490">
        <f>K490-M490+O490</f>
        <v>4.0004999999999997</v>
      </c>
    </row>
    <row r="491" spans="1:16">
      <c r="A491">
        <v>490</v>
      </c>
      <c r="B491" t="s">
        <v>504</v>
      </c>
      <c r="C491" t="s">
        <v>44</v>
      </c>
      <c r="D491">
        <v>2007</v>
      </c>
      <c r="E491" t="s">
        <v>27</v>
      </c>
      <c r="F491" t="s">
        <v>45</v>
      </c>
      <c r="G491">
        <v>0.8</v>
      </c>
      <c r="H491">
        <v>0.03</v>
      </c>
      <c r="I491">
        <v>0.27</v>
      </c>
      <c r="J491">
        <v>2.93</v>
      </c>
      <c r="K491">
        <f>SUM(G491:J491)</f>
        <v>4.03</v>
      </c>
      <c r="L491">
        <f>IF(K491&gt;20,10%,5%)</f>
        <v>0.05</v>
      </c>
      <c r="M491">
        <f>K491*L491</f>
        <v>0.20150000000000001</v>
      </c>
      <c r="N491">
        <f>LOOKUP(K491,Lookup!$A$2:$A$5,Lookup!$B$2:$B$5)</f>
        <v>0.1</v>
      </c>
      <c r="O491">
        <f>K491*N491</f>
        <v>0.40300000000000002</v>
      </c>
      <c r="P491">
        <f>K491-M491+O491</f>
        <v>4.2315000000000005</v>
      </c>
    </row>
    <row r="492" spans="1:16">
      <c r="A492">
        <v>491</v>
      </c>
      <c r="B492" t="s">
        <v>505</v>
      </c>
      <c r="C492" t="s">
        <v>17</v>
      </c>
      <c r="D492">
        <v>2006</v>
      </c>
      <c r="E492" t="s">
        <v>29</v>
      </c>
      <c r="F492" t="s">
        <v>19</v>
      </c>
      <c r="G492">
        <v>1.06</v>
      </c>
      <c r="H492">
        <v>0.73</v>
      </c>
      <c r="I492">
        <v>0.26</v>
      </c>
      <c r="J492">
        <v>2.92</v>
      </c>
      <c r="K492">
        <f>SUM(G492:J492)</f>
        <v>4.97</v>
      </c>
      <c r="L492">
        <f>IF(K492&gt;20,10%,5%)</f>
        <v>0.05</v>
      </c>
      <c r="M492">
        <f>K492*L492</f>
        <v>0.2485</v>
      </c>
      <c r="N492">
        <f>LOOKUP(K492,Lookup!$A$2:$A$5,Lookup!$B$2:$B$5)</f>
        <v>0.1</v>
      </c>
      <c r="O492">
        <f>K492*N492</f>
        <v>0.497</v>
      </c>
      <c r="P492">
        <f>K492-M492+O492</f>
        <v>5.2184999999999997</v>
      </c>
    </row>
    <row r="493" spans="1:16">
      <c r="A493">
        <v>492</v>
      </c>
      <c r="B493" t="s">
        <v>506</v>
      </c>
      <c r="C493" t="s">
        <v>17</v>
      </c>
      <c r="D493">
        <v>2007</v>
      </c>
      <c r="E493" t="s">
        <v>38</v>
      </c>
      <c r="F493" t="s">
        <v>163</v>
      </c>
      <c r="G493">
        <v>1.1299999999999999</v>
      </c>
      <c r="H493">
        <v>0.05</v>
      </c>
      <c r="I493">
        <v>0.3</v>
      </c>
      <c r="J493">
        <v>2.91</v>
      </c>
      <c r="K493">
        <f>SUM(G493:J493)</f>
        <v>4.3900000000000006</v>
      </c>
      <c r="L493">
        <f>IF(K493&gt;20,10%,5%)</f>
        <v>0.05</v>
      </c>
      <c r="M493">
        <f>K493*L493</f>
        <v>0.21950000000000003</v>
      </c>
      <c r="N493">
        <f>LOOKUP(K493,Lookup!$A$2:$A$5,Lookup!$B$2:$B$5)</f>
        <v>0.1</v>
      </c>
      <c r="O493">
        <f>K493*N493</f>
        <v>0.43900000000000006</v>
      </c>
      <c r="P493">
        <f>K493-M493+O493</f>
        <v>4.6095000000000006</v>
      </c>
    </row>
    <row r="494" spans="1:16">
      <c r="A494">
        <v>493</v>
      </c>
      <c r="B494" t="s">
        <v>317</v>
      </c>
      <c r="C494" t="s">
        <v>60</v>
      </c>
      <c r="D494">
        <v>2002</v>
      </c>
      <c r="E494" t="s">
        <v>2</v>
      </c>
      <c r="F494" t="s">
        <v>19</v>
      </c>
      <c r="G494">
        <v>0.45</v>
      </c>
      <c r="H494">
        <v>0.62</v>
      </c>
      <c r="I494">
        <v>0.09</v>
      </c>
      <c r="J494">
        <v>2.91</v>
      </c>
      <c r="K494">
        <f>SUM(G494:J494)</f>
        <v>4.07</v>
      </c>
      <c r="L494">
        <f>IF(K494&gt;20,10%,5%)</f>
        <v>0.05</v>
      </c>
      <c r="M494">
        <f>K494*L494</f>
        <v>0.20350000000000001</v>
      </c>
      <c r="N494">
        <f>LOOKUP(K494,Lookup!$A$2:$A$5,Lookup!$B$2:$B$5)</f>
        <v>0.1</v>
      </c>
      <c r="O494">
        <f>K494*N494</f>
        <v>0.40700000000000003</v>
      </c>
      <c r="P494">
        <f>K494-M494+O494</f>
        <v>4.2735000000000003</v>
      </c>
    </row>
    <row r="495" spans="1:16">
      <c r="A495">
        <v>494</v>
      </c>
      <c r="B495" t="s">
        <v>157</v>
      </c>
      <c r="C495" t="s">
        <v>72</v>
      </c>
      <c r="D495">
        <v>2013</v>
      </c>
      <c r="E495" t="s">
        <v>18</v>
      </c>
      <c r="F495" t="s">
        <v>115</v>
      </c>
      <c r="G495">
        <v>1.85</v>
      </c>
      <c r="H495">
        <v>0.11</v>
      </c>
      <c r="I495">
        <v>0.33</v>
      </c>
      <c r="J495">
        <v>2.9</v>
      </c>
      <c r="K495">
        <f>SUM(G495:J495)</f>
        <v>5.1899999999999995</v>
      </c>
      <c r="L495">
        <f>IF(K495&gt;20,10%,5%)</f>
        <v>0.05</v>
      </c>
      <c r="M495">
        <f>K495*L495</f>
        <v>0.25950000000000001</v>
      </c>
      <c r="N495">
        <f>LOOKUP(K495,Lookup!$A$2:$A$5,Lookup!$B$2:$B$5)</f>
        <v>0.1</v>
      </c>
      <c r="O495">
        <f>K495*N495</f>
        <v>0.51900000000000002</v>
      </c>
      <c r="P495">
        <f>K495-M495+O495</f>
        <v>5.4494999999999996</v>
      </c>
    </row>
    <row r="496" spans="1:16">
      <c r="A496">
        <v>495</v>
      </c>
      <c r="B496" t="s">
        <v>507</v>
      </c>
      <c r="C496" t="s">
        <v>145</v>
      </c>
      <c r="D496">
        <v>2014</v>
      </c>
      <c r="E496" t="s">
        <v>36</v>
      </c>
      <c r="F496" t="s">
        <v>115</v>
      </c>
      <c r="G496">
        <v>0.8</v>
      </c>
      <c r="H496">
        <v>0.04</v>
      </c>
      <c r="I496">
        <v>0.22</v>
      </c>
      <c r="J496">
        <v>2.9</v>
      </c>
      <c r="K496">
        <f>SUM(G496:J496)</f>
        <v>3.96</v>
      </c>
      <c r="L496">
        <f>IF(K496&gt;20,10%,5%)</f>
        <v>0.05</v>
      </c>
      <c r="M496">
        <f>K496*L496</f>
        <v>0.19800000000000001</v>
      </c>
      <c r="N496">
        <f>LOOKUP(K496,Lookup!$A$2:$A$5,Lookup!$B$2:$B$5)</f>
        <v>0.1</v>
      </c>
      <c r="O496">
        <f>K496*N496</f>
        <v>0.39600000000000002</v>
      </c>
      <c r="P496">
        <f>K496-M496+O496</f>
        <v>4.1580000000000004</v>
      </c>
    </row>
    <row r="497" spans="1:16">
      <c r="A497">
        <v>496</v>
      </c>
      <c r="B497" t="s">
        <v>508</v>
      </c>
      <c r="C497" t="s">
        <v>51</v>
      </c>
      <c r="D497">
        <v>2004</v>
      </c>
      <c r="E497" t="s">
        <v>33</v>
      </c>
      <c r="F497" t="s">
        <v>126</v>
      </c>
      <c r="G497">
        <v>1.1399999999999999</v>
      </c>
      <c r="H497">
        <v>0</v>
      </c>
      <c r="I497">
        <v>0.22</v>
      </c>
      <c r="J497">
        <v>2.9</v>
      </c>
      <c r="K497">
        <f>SUM(G497:J497)</f>
        <v>4.26</v>
      </c>
      <c r="L497">
        <f>IF(K497&gt;20,10%,5%)</f>
        <v>0.05</v>
      </c>
      <c r="M497">
        <f>K497*L497</f>
        <v>0.21299999999999999</v>
      </c>
      <c r="N497">
        <f>LOOKUP(K497,Lookup!$A$2:$A$5,Lookup!$B$2:$B$5)</f>
        <v>0.1</v>
      </c>
      <c r="O497">
        <f>K497*N497</f>
        <v>0.42599999999999999</v>
      </c>
      <c r="P497">
        <f>K497-M497+O497</f>
        <v>4.4729999999999999</v>
      </c>
    </row>
    <row r="498" spans="1:16">
      <c r="A498">
        <v>497</v>
      </c>
      <c r="B498" t="s">
        <v>509</v>
      </c>
      <c r="C498" t="s">
        <v>44</v>
      </c>
      <c r="D498">
        <v>2008</v>
      </c>
      <c r="E498" t="s">
        <v>18</v>
      </c>
      <c r="F498" t="s">
        <v>126</v>
      </c>
      <c r="G498">
        <v>0.86</v>
      </c>
      <c r="H498">
        <v>0</v>
      </c>
      <c r="I498">
        <v>0.28000000000000003</v>
      </c>
      <c r="J498">
        <v>2.9</v>
      </c>
      <c r="K498">
        <f>SUM(G498:J498)</f>
        <v>4.04</v>
      </c>
      <c r="L498">
        <f>IF(K498&gt;20,10%,5%)</f>
        <v>0.05</v>
      </c>
      <c r="M498">
        <f>K498*L498</f>
        <v>0.20200000000000001</v>
      </c>
      <c r="N498">
        <f>LOOKUP(K498,Lookup!$A$2:$A$5,Lookup!$B$2:$B$5)</f>
        <v>0.1</v>
      </c>
      <c r="O498">
        <f>K498*N498</f>
        <v>0.40400000000000003</v>
      </c>
      <c r="P498">
        <f>K498-M498+O498</f>
        <v>4.242</v>
      </c>
    </row>
    <row r="499" spans="1:16">
      <c r="A499">
        <v>498</v>
      </c>
      <c r="B499" t="s">
        <v>510</v>
      </c>
      <c r="C499" t="s">
        <v>51</v>
      </c>
      <c r="D499">
        <v>2003</v>
      </c>
      <c r="E499" t="s">
        <v>18</v>
      </c>
      <c r="F499" t="s">
        <v>188</v>
      </c>
      <c r="G499">
        <v>1.24</v>
      </c>
      <c r="H499">
        <v>1.1299999999999999</v>
      </c>
      <c r="I499">
        <v>0.45</v>
      </c>
      <c r="J499">
        <v>2.9</v>
      </c>
      <c r="K499">
        <f>SUM(G499:J499)</f>
        <v>5.7200000000000006</v>
      </c>
      <c r="L499">
        <f>IF(K499&gt;20,10%,5%)</f>
        <v>0.05</v>
      </c>
      <c r="M499">
        <f>K499*L499</f>
        <v>0.28600000000000003</v>
      </c>
      <c r="N499">
        <f>LOOKUP(K499,Lookup!$A$2:$A$5,Lookup!$B$2:$B$5)</f>
        <v>0.1</v>
      </c>
      <c r="O499">
        <f>K499*N499</f>
        <v>0.57200000000000006</v>
      </c>
      <c r="P499">
        <f>K499-M499+O499</f>
        <v>6.0060000000000011</v>
      </c>
    </row>
    <row r="500" spans="1:16">
      <c r="A500">
        <v>499</v>
      </c>
      <c r="B500" t="s">
        <v>289</v>
      </c>
      <c r="C500" t="s">
        <v>47</v>
      </c>
      <c r="D500">
        <v>2012</v>
      </c>
      <c r="E500" t="s">
        <v>23</v>
      </c>
      <c r="F500" t="s">
        <v>115</v>
      </c>
      <c r="G500">
        <v>1.51</v>
      </c>
      <c r="H500">
        <v>0.06</v>
      </c>
      <c r="I500">
        <v>0.61</v>
      </c>
      <c r="J500">
        <v>2.89</v>
      </c>
      <c r="K500">
        <f>SUM(G500:J500)</f>
        <v>5.07</v>
      </c>
      <c r="L500">
        <f>IF(K500&gt;20,10%,5%)</f>
        <v>0.05</v>
      </c>
      <c r="M500">
        <f>K500*L500</f>
        <v>0.2535</v>
      </c>
      <c r="N500">
        <f>LOOKUP(K500,Lookup!$A$2:$A$5,Lookup!$B$2:$B$5)</f>
        <v>0.1</v>
      </c>
      <c r="O500">
        <f>K500*N500</f>
        <v>0.50700000000000001</v>
      </c>
      <c r="P500">
        <f>K500-M500+O500</f>
        <v>5.3235000000000001</v>
      </c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defaultRowHeight="15"/>
  <sheetData>
    <row r="1" spans="1:2">
      <c r="A1" t="s">
        <v>511</v>
      </c>
      <c r="B1" t="s">
        <v>512</v>
      </c>
    </row>
    <row r="2" spans="1:2">
      <c r="A2">
        <v>0</v>
      </c>
      <c r="B2">
        <v>0.1</v>
      </c>
    </row>
    <row r="3" spans="1:2">
      <c r="A3">
        <v>20</v>
      </c>
      <c r="B3">
        <v>0.08</v>
      </c>
    </row>
    <row r="4" spans="1:2">
      <c r="A4">
        <v>50</v>
      </c>
      <c r="B4">
        <v>0.05</v>
      </c>
    </row>
    <row r="5" spans="1:2">
      <c r="A5">
        <v>100</v>
      </c>
      <c r="B5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/>
  <sheetData>
    <row r="1" spans="1:2">
      <c r="A1" t="s">
        <v>513</v>
      </c>
    </row>
    <row r="3" spans="1:2">
      <c r="A3" t="s">
        <v>514</v>
      </c>
      <c r="B3">
        <f>COUNTIF(Data!E:E,"Shooter")</f>
        <v>76</v>
      </c>
    </row>
    <row r="4" spans="1:2">
      <c r="A4" t="s">
        <v>10</v>
      </c>
      <c r="B4">
        <f>SUMIF(Data!E:E,"Shooter",Data!K:K)</f>
        <v>692.11999999999989</v>
      </c>
    </row>
    <row r="5" spans="1:2">
      <c r="A5" t="s">
        <v>15</v>
      </c>
      <c r="B5">
        <f>SUMIF(Data!E:E,"Shooter",Data!P:P)</f>
        <v>718.51080000000002</v>
      </c>
    </row>
    <row r="6" spans="1:2">
      <c r="A6" t="s">
        <v>515</v>
      </c>
      <c r="B6">
        <f>SUMIF(Data!E:E,"Shooter",Data!G:G)</f>
        <v>143.51999999999998</v>
      </c>
    </row>
    <row r="7" spans="1:2">
      <c r="A7" t="s">
        <v>516</v>
      </c>
      <c r="B7">
        <f>SUMIF(Data!E:E,"Shooter",Data!H:H)</f>
        <v>12.339999999999996</v>
      </c>
    </row>
    <row r="8" spans="1:2">
      <c r="A8" t="s">
        <v>517</v>
      </c>
      <c r="B8">
        <f>SUMIF(Data!E:E,"Shooter",Data!I:I)</f>
        <v>49.139999999999986</v>
      </c>
    </row>
    <row r="9" spans="1:2">
      <c r="A9" t="s">
        <v>518</v>
      </c>
      <c r="B9">
        <f>SUMIF(Data!E:E,"Shooter",Data!J:J)</f>
        <v>487.11999999999983</v>
      </c>
    </row>
    <row r="10" spans="1:2">
      <c r="A10" t="s">
        <v>519</v>
      </c>
      <c r="B10">
        <f>COUNTIFS(Data!E:E,"Shooter",Data!P:P,"&gt;20")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profadmi</dc:creator>
  <cp:keywords/>
  <dc:description/>
  <cp:lastModifiedBy/>
  <cp:revision/>
  <dcterms:created xsi:type="dcterms:W3CDTF">2016-12-16T00:46:46Z</dcterms:created>
  <dcterms:modified xsi:type="dcterms:W3CDTF">2026-06-02T16:32:49Z</dcterms:modified>
  <cp:category/>
  <cp:contentStatus/>
</cp:coreProperties>
</file>